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mc:AlternateContent xmlns:mc="http://schemas.openxmlformats.org/markup-compatibility/2006">
    <mc:Choice Requires="x15">
      <x15ac:absPath xmlns:x15ac="http://schemas.microsoft.com/office/spreadsheetml/2010/11/ac" url="/Users/arturs/Documents/"/>
    </mc:Choice>
  </mc:AlternateContent>
  <xr:revisionPtr revIDLastSave="0" documentId="13_ncr:1_{2B5035A6-6C20-0148-9D5B-BECF442503BC}" xr6:coauthVersionLast="47" xr6:coauthVersionMax="47" xr10:uidLastSave="{00000000-0000-0000-0000-000000000000}"/>
  <bookViews>
    <workbookView xWindow="0" yWindow="0" windowWidth="28800" windowHeight="18000" activeTab="2" xr2:uid="{00000000-000D-0000-FFFF-FFFF00000000}"/>
  </bookViews>
  <sheets>
    <sheet name="Export Summary" sheetId="1" r:id="rId1"/>
    <sheet name="Sheet 1 - Probabillistic Nomogr" sheetId="2" r:id="rId2"/>
    <sheet name="Sheet 1 - Probabilistic Nomogra" sheetId="3" r:id="rId3"/>
  </sheets>
  <definedNames>
    <definedName name="_xlchart.v1.0" hidden="1">'Sheet 1 - Probabilistic Nomogra'!$B$30:$B$35</definedName>
    <definedName name="_xlchart.v1.1" hidden="1">'Sheet 1 - Probabilistic Nomogra'!$AZ$3:$AZ$11</definedName>
    <definedName name="_xlchart.v1.10" hidden="1">'Sheet 1 - Probabilistic Nomogra'!$BB$2</definedName>
    <definedName name="_xlchart.v1.11" hidden="1">'Sheet 1 - Probabilistic Nomogra'!$BB$3:$BB$11</definedName>
    <definedName name="_xlchart.v1.12" hidden="1">'Sheet 1 - Probabilistic Nomogra'!$BC$2</definedName>
    <definedName name="_xlchart.v1.13" hidden="1">'Sheet 1 - Probabilistic Nomogra'!$BC$3:$BC$11</definedName>
    <definedName name="_xlchart.v1.14" hidden="1">'Sheet 1 - Probabilistic Nomogra'!$BD$2</definedName>
    <definedName name="_xlchart.v1.15" hidden="1">'Sheet 1 - Probabilistic Nomogra'!$BD$3:$BD$11</definedName>
    <definedName name="_xlchart.v1.16" hidden="1">'Sheet 1 - Probabilistic Nomogra'!$AZ$2</definedName>
    <definedName name="_xlchart.v1.17" hidden="1">'Sheet 1 - Probabilistic Nomogra'!$AZ$3:$AZ$11</definedName>
    <definedName name="_xlchart.v1.18" hidden="1">'Sheet 1 - Probabilistic Nomogra'!$AZ$4:$AZ$12</definedName>
    <definedName name="_xlchart.v1.19" hidden="1">'Sheet 1 - Probabilistic Nomogra'!$BA$2</definedName>
    <definedName name="_xlchart.v1.2" hidden="1">'Sheet 1 - Probabilistic Nomogra'!$BA$3:$BA$11</definedName>
    <definedName name="_xlchart.v1.20" hidden="1">'Sheet 1 - Probabilistic Nomogra'!$BA$3:$BA$11</definedName>
    <definedName name="_xlchart.v1.21" hidden="1">'Sheet 1 - Probabilistic Nomogra'!$BA$4:$BA$12</definedName>
    <definedName name="_xlchart.v1.22" hidden="1">'Sheet 1 - Probabilistic Nomogra'!$BB$2</definedName>
    <definedName name="_xlchart.v1.23" hidden="1">'Sheet 1 - Probabilistic Nomogra'!$BB$3:$BB$11</definedName>
    <definedName name="_xlchart.v1.24" hidden="1">'Sheet 1 - Probabilistic Nomogra'!$BB$4:$BB$12</definedName>
    <definedName name="_xlchart.v1.25" hidden="1">'Sheet 1 - Probabilistic Nomogra'!$BC$2</definedName>
    <definedName name="_xlchart.v1.26" hidden="1">'Sheet 1 - Probabilistic Nomogra'!$BC$3:$BC$11</definedName>
    <definedName name="_xlchart.v1.27" hidden="1">'Sheet 1 - Probabilistic Nomogra'!$BC$4:$BC$12</definedName>
    <definedName name="_xlchart.v1.28" hidden="1">'Sheet 1 - Probabilistic Nomogra'!$BD$2</definedName>
    <definedName name="_xlchart.v1.29" hidden="1">'Sheet 1 - Probabilistic Nomogra'!$BD$3:$BD$11</definedName>
    <definedName name="_xlchart.v1.3" hidden="1">'Sheet 1 - Probabilistic Nomogra'!$BB$3:$BB$11</definedName>
    <definedName name="_xlchart.v1.30" hidden="1">'Sheet 1 - Probabilistic Nomogra'!$BD$4:$BD$12</definedName>
    <definedName name="_xlchart.v1.31" hidden="1">'Sheet 1 - Probabilistic Nomogra'!$AZ$2</definedName>
    <definedName name="_xlchart.v1.32" hidden="1">'Sheet 1 - Probabilistic Nomogra'!$AZ$3:$AZ$11</definedName>
    <definedName name="_xlchart.v1.33" hidden="1">'Sheet 1 - Probabilistic Nomogra'!$BA$2</definedName>
    <definedName name="_xlchart.v1.34" hidden="1">'Sheet 1 - Probabilistic Nomogra'!$BA$3:$BA$11</definedName>
    <definedName name="_xlchart.v1.35" hidden="1">'Sheet 1 - Probabilistic Nomogra'!$BB$2</definedName>
    <definedName name="_xlchart.v1.36" hidden="1">'Sheet 1 - Probabilistic Nomogra'!$BB$3:$BB$11</definedName>
    <definedName name="_xlchart.v1.37" hidden="1">'Sheet 1 - Probabilistic Nomogra'!$BC$2</definedName>
    <definedName name="_xlchart.v1.38" hidden="1">'Sheet 1 - Probabilistic Nomogra'!$BC$3:$BC$11</definedName>
    <definedName name="_xlchart.v1.39" hidden="1">'Sheet 1 - Probabilistic Nomogra'!$BD$2</definedName>
    <definedName name="_xlchart.v1.4" hidden="1">'Sheet 1 - Probabilistic Nomogra'!$BC$3:$BC$11</definedName>
    <definedName name="_xlchart.v1.40" hidden="1">'Sheet 1 - Probabilistic Nomogra'!$BD$3:$BD$11</definedName>
    <definedName name="_xlchart.v1.41" hidden="1">'Sheet 1 - Probabilistic Nomogra'!$B$19:$B$24</definedName>
    <definedName name="_xlchart.v1.42" hidden="1">'Sheet 1 - Probabilistic Nomogra'!$AA$2</definedName>
    <definedName name="_xlchart.v1.43" hidden="1">'Sheet 1 - Probabilistic Nomogra'!$AA$3:$AA$11</definedName>
    <definedName name="_xlchart.v1.44" hidden="1">'Sheet 1 - Probabilistic Nomogra'!$AB$2</definedName>
    <definedName name="_xlchart.v1.45" hidden="1">'Sheet 1 - Probabilistic Nomogra'!$AB$3:$AB$11</definedName>
    <definedName name="_xlchart.v1.46" hidden="1">'Sheet 1 - Probabilistic Nomogra'!$AC$2</definedName>
    <definedName name="_xlchart.v1.47" hidden="1">'Sheet 1 - Probabilistic Nomogra'!$AC$3:$AC$11</definedName>
    <definedName name="_xlchart.v1.48" hidden="1">'Sheet 1 - Probabilistic Nomogra'!$Y$2</definedName>
    <definedName name="_xlchart.v1.49" hidden="1">'Sheet 1 - Probabilistic Nomogra'!$Y$3:$Y$11</definedName>
    <definedName name="_xlchart.v1.5" hidden="1">'Sheet 1 - Probabilistic Nomogra'!$BD$3:$BD$11</definedName>
    <definedName name="_xlchart.v1.50" hidden="1">'Sheet 1 - Probabilistic Nomogra'!$Z$2</definedName>
    <definedName name="_xlchart.v1.51" hidden="1">'Sheet 1 - Probabilistic Nomogra'!$Z$3:$Z$11</definedName>
    <definedName name="_xlchart.v1.52" hidden="1">'Sheet 1 - Probabilistic Nomogra'!$AZ$2</definedName>
    <definedName name="_xlchart.v1.53" hidden="1">'Sheet 1 - Probabilistic Nomogra'!$AZ$3:$AZ$11</definedName>
    <definedName name="_xlchart.v1.54" hidden="1">'Sheet 1 - Probabilistic Nomogra'!$BA$2</definedName>
    <definedName name="_xlchart.v1.55" hidden="1">'Sheet 1 - Probabilistic Nomogra'!$BA$3:$BA$11</definedName>
    <definedName name="_xlchart.v1.56" hidden="1">'Sheet 1 - Probabilistic Nomogra'!$BB$2</definedName>
    <definedName name="_xlchart.v1.57" hidden="1">'Sheet 1 - Probabilistic Nomogra'!$BB$3:$BB$11</definedName>
    <definedName name="_xlchart.v1.58" hidden="1">'Sheet 1 - Probabilistic Nomogra'!$BC$2</definedName>
    <definedName name="_xlchart.v1.59" hidden="1">'Sheet 1 - Probabilistic Nomogra'!$BC$3:$BC$11</definedName>
    <definedName name="_xlchart.v1.6" hidden="1">'Sheet 1 - Probabilistic Nomogra'!$AZ$2</definedName>
    <definedName name="_xlchart.v1.60" hidden="1">'Sheet 1 - Probabilistic Nomogra'!$BD$2</definedName>
    <definedName name="_xlchart.v1.61" hidden="1">'Sheet 1 - Probabilistic Nomogra'!$BD$3:$BD$11</definedName>
    <definedName name="_xlchart.v1.7" hidden="1">'Sheet 1 - Probabilistic Nomogra'!$AZ$3:$AZ$11</definedName>
    <definedName name="_xlchart.v1.8" hidden="1">'Sheet 1 - Probabilistic Nomogra'!$BA$2</definedName>
    <definedName name="_xlchart.v1.9" hidden="1">'Sheet 1 - Probabilistic Nomogra'!$BA$3:$BA$11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5" i="3" l="1"/>
  <c r="B34" i="3"/>
  <c r="B33" i="3"/>
  <c r="B32" i="3"/>
  <c r="B31" i="3"/>
  <c r="B30" i="3"/>
  <c r="B23" i="3"/>
  <c r="B21" i="3"/>
  <c r="B22" i="3"/>
  <c r="B20" i="3"/>
  <c r="B19" i="3"/>
  <c r="B24" i="3"/>
  <c r="BW14" i="3"/>
  <c r="BV14" i="3"/>
  <c r="BU14" i="3"/>
  <c r="BT14" i="3"/>
  <c r="BS14" i="3"/>
  <c r="BR14" i="3"/>
  <c r="BQ14" i="3"/>
  <c r="BP14" i="3"/>
  <c r="BO14" i="3"/>
  <c r="BN14" i="3"/>
  <c r="BM14" i="3"/>
  <c r="BL14" i="3"/>
  <c r="BK14" i="3"/>
  <c r="BJ14" i="3"/>
  <c r="BI14" i="3"/>
  <c r="BH14" i="3"/>
  <c r="BG14" i="3"/>
  <c r="BF14" i="3"/>
  <c r="BD14" i="3"/>
  <c r="BC14" i="3"/>
  <c r="BB14" i="3"/>
  <c r="BA14" i="3"/>
  <c r="AZ14" i="3"/>
  <c r="AY14" i="3"/>
  <c r="AX14" i="3"/>
  <c r="AW14" i="3"/>
  <c r="AV14" i="3"/>
  <c r="AU14" i="3"/>
  <c r="AT14" i="3"/>
  <c r="AS14" i="3"/>
  <c r="AR14" i="3"/>
  <c r="AQ14" i="3"/>
  <c r="AP14" i="3"/>
  <c r="AO14" i="3"/>
  <c r="AN14" i="3"/>
  <c r="AM14" i="3"/>
  <c r="AL14" i="3"/>
  <c r="AK14" i="3"/>
  <c r="AJ14" i="3"/>
  <c r="AI14" i="3"/>
  <c r="AH14" i="3"/>
  <c r="AG14" i="3"/>
  <c r="AF14" i="3"/>
  <c r="AE14" i="3"/>
  <c r="AC14" i="3"/>
  <c r="AB14" i="3"/>
  <c r="AA14" i="3"/>
  <c r="Z14" i="3"/>
  <c r="Y14" i="3"/>
  <c r="X14" i="3"/>
  <c r="W14" i="3"/>
  <c r="V14" i="3"/>
  <c r="U14" i="3"/>
  <c r="T14" i="3"/>
  <c r="S14" i="3"/>
  <c r="R14" i="3"/>
  <c r="Q14" i="3"/>
  <c r="P14" i="3"/>
  <c r="O14" i="3"/>
  <c r="N14" i="3"/>
  <c r="M14" i="3"/>
  <c r="L14" i="3"/>
  <c r="K14" i="3"/>
  <c r="BW13" i="3"/>
  <c r="BV13" i="3"/>
  <c r="BU13" i="3"/>
  <c r="BT13" i="3"/>
  <c r="BS13" i="3"/>
  <c r="BR13" i="3"/>
  <c r="BQ13" i="3"/>
  <c r="BP13" i="3"/>
  <c r="BO13" i="3"/>
  <c r="BN13" i="3"/>
  <c r="BM13" i="3"/>
  <c r="BL13" i="3"/>
  <c r="BK13" i="3"/>
  <c r="BJ13" i="3"/>
  <c r="BI13" i="3"/>
  <c r="BH13" i="3"/>
  <c r="BG13" i="3"/>
  <c r="BF13" i="3"/>
  <c r="BD13" i="3"/>
  <c r="BC13" i="3"/>
  <c r="BB13" i="3"/>
  <c r="BA13" i="3"/>
  <c r="AZ13" i="3"/>
  <c r="AY13" i="3"/>
  <c r="AX13" i="3"/>
  <c r="AW13" i="3"/>
  <c r="AV13" i="3"/>
  <c r="AU13" i="3"/>
  <c r="AT13" i="3"/>
  <c r="AS13" i="3"/>
  <c r="AR13" i="3"/>
  <c r="AQ13" i="3"/>
  <c r="AP13" i="3"/>
  <c r="AO13" i="3"/>
  <c r="AN13" i="3"/>
  <c r="AM13" i="3"/>
  <c r="AL13" i="3"/>
  <c r="AK13" i="3"/>
  <c r="AJ13" i="3"/>
  <c r="AI13" i="3"/>
  <c r="AH13" i="3"/>
  <c r="AG13" i="3"/>
  <c r="AF13" i="3"/>
  <c r="AE13" i="3"/>
  <c r="AC13" i="3"/>
  <c r="AB13" i="3"/>
  <c r="AA13" i="3"/>
  <c r="Z13" i="3"/>
  <c r="Y13" i="3"/>
  <c r="X13" i="3"/>
  <c r="W13" i="3"/>
  <c r="V13" i="3"/>
  <c r="U13" i="3"/>
  <c r="T13" i="3"/>
  <c r="S13" i="3"/>
  <c r="R13" i="3"/>
  <c r="Q13" i="3"/>
  <c r="P13" i="3"/>
  <c r="O13" i="3"/>
  <c r="N13" i="3"/>
  <c r="M13" i="3"/>
  <c r="L13" i="3"/>
  <c r="K13" i="3"/>
  <c r="BW12" i="3"/>
  <c r="BV12" i="3"/>
  <c r="BU12" i="3"/>
  <c r="BT12" i="3"/>
  <c r="BS12" i="3"/>
  <c r="BR12" i="3"/>
  <c r="BO12" i="3"/>
  <c r="BN12" i="3"/>
  <c r="BM12" i="3"/>
  <c r="BL12" i="3"/>
  <c r="BK12" i="3"/>
  <c r="BJ12" i="3"/>
  <c r="BI12" i="3"/>
  <c r="BH12" i="3"/>
  <c r="BG12" i="3"/>
  <c r="BF12" i="3"/>
  <c r="BD12" i="3"/>
  <c r="BC12" i="3"/>
  <c r="BB12" i="3"/>
  <c r="BA12" i="3"/>
  <c r="AZ12" i="3"/>
  <c r="AY12" i="3"/>
  <c r="AX12" i="3"/>
  <c r="AW12" i="3"/>
  <c r="AV12" i="3"/>
  <c r="AU12" i="3"/>
  <c r="AT12" i="3"/>
  <c r="AS12" i="3"/>
  <c r="AR12" i="3"/>
  <c r="AQ12" i="3"/>
  <c r="AP12" i="3"/>
  <c r="AO12" i="3"/>
  <c r="AN12" i="3"/>
  <c r="AM12" i="3"/>
  <c r="AL12" i="3"/>
  <c r="AK12" i="3"/>
  <c r="AJ12" i="3"/>
  <c r="AI12" i="3"/>
  <c r="AH12" i="3"/>
  <c r="AG12" i="3"/>
  <c r="AF12" i="3"/>
  <c r="AE12" i="3"/>
  <c r="AC12" i="3"/>
  <c r="AB12" i="3"/>
  <c r="AA12" i="3"/>
  <c r="Z12" i="3"/>
  <c r="Y12" i="3"/>
  <c r="X12" i="3"/>
  <c r="W12" i="3"/>
  <c r="V12" i="3"/>
  <c r="U12" i="3"/>
  <c r="T12" i="3"/>
  <c r="S12" i="3"/>
  <c r="R12" i="3"/>
  <c r="Q12" i="3"/>
  <c r="P12" i="3"/>
  <c r="O12" i="3"/>
  <c r="N12" i="3"/>
  <c r="M12" i="3"/>
  <c r="L12" i="3"/>
  <c r="K12" i="3"/>
</calcChain>
</file>

<file path=xl/sharedStrings.xml><?xml version="1.0" encoding="utf-8"?>
<sst xmlns="http://schemas.openxmlformats.org/spreadsheetml/2006/main" count="213" uniqueCount="125">
  <si>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</si>
  <si>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</si>
  <si>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</si>
  <si>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</si>
  <si>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 1</t>
  </si>
  <si>
    <t>Probabillistic Nomogram B</t>
  </si>
  <si>
    <t>Sheet 1 - Probabillistic Nomogr</t>
  </si>
  <si>
    <t>Probabilistic Nomogram A</t>
  </si>
  <si>
    <t>Sheet 1 - Probabilistic Nomogra</t>
  </si>
  <si>
    <t>Timestamp</t>
  </si>
  <si>
    <t>You have been given a consent form with outlined terms.
Consent is required to participate in the survey. 
Personal data will be collected for strictly educational reasons, but will anonymised. 
All data will be handled securely and under strict UK GDPR compliance.
The survey should take about 10 minutes.</t>
  </si>
  <si>
    <t>Age:</t>
  </si>
  <si>
    <t>Gender:</t>
  </si>
  <si>
    <t>What the subject of your studies/occupation?</t>
  </si>
  <si>
    <t>How good is your close distance vision?</t>
  </si>
  <si>
    <t>How often do you use a computer or mobile device</t>
  </si>
  <si>
    <t>How well versed are you with nomograms</t>
  </si>
  <si>
    <t>Have you ever used a nomogram before?</t>
  </si>
  <si>
    <t>Estimate the fuel usage if a car travels 800 km under fuel economy 7 km/L.</t>
  </si>
  <si>
    <t>How certain are you of your answer above?</t>
  </si>
  <si>
    <t>Estimate the distance a car can travel with a fuel capacity of 33 L and fuel efficiency 8.9 km/L.</t>
  </si>
  <si>
    <t>Estimate the distance a car can travel with a fuel capacity of 90 L and fuel efficiency 5 km/L.</t>
  </si>
  <si>
    <t>Estimate the fuel usage if a car travels 225 km under fuel economy 7.3 km/L.</t>
  </si>
  <si>
    <t>Estimate the fuel capacity if one can drive for 455km using a 39L tank.</t>
  </si>
  <si>
    <t>How certain are you of your answer above</t>
  </si>
  <si>
    <t>Estimate the distance a with a fuel capacity of 20 L and fuel efficiency 6 km/L.</t>
  </si>
  <si>
    <t>Estimate the fuel capacity if one can drive for 400km using a 70L tank.</t>
  </si>
  <si>
    <t>800km?</t>
  </si>
  <si>
    <t>300km?</t>
  </si>
  <si>
    <t>450km?</t>
  </si>
  <si>
    <t>700km?</t>
  </si>
  <si>
    <t>1000km?</t>
  </si>
  <si>
    <t>Time taken:</t>
  </si>
  <si>
    <t>Clarity of tool's intended purpose</t>
  </si>
  <si>
    <t>Initial learning curve</t>
  </si>
  <si>
    <t>Tool's usefulness to you personally</t>
  </si>
  <si>
    <t>Overall task difficulty</t>
  </si>
  <si>
    <t>Overall experience</t>
  </si>
  <si>
    <t>Further thoughts/feedback? (Optional)</t>
  </si>
  <si>
    <t>Estimate the fuel usage if a car travels 800 km under fuel economy 15 km/L.</t>
  </si>
  <si>
    <t>Estimate the distance a car can travel with a fuel capacity of 27 L and fuel efficiency 8.9 km/L.</t>
  </si>
  <si>
    <t>Estimate the distance a car can travel with a fuel capacity of 100 L and fuel efficiency 6 km/L.</t>
  </si>
  <si>
    <t>Estimate the fuel usage if a car travels 185 km under fuel economy 5.6 km/L.</t>
  </si>
  <si>
    <t>Estimate the fuel capacity if one can drive for 455km using a 29L tank</t>
  </si>
  <si>
    <t>Estimate the distance a with a fuel capacity of 32 L and fuel efficiency 6 km/L.</t>
  </si>
  <si>
    <t>Estimate the fuel capacity if one can drive for 400km using a 60L tank</t>
  </si>
  <si>
    <t>850km</t>
  </si>
  <si>
    <t>250km</t>
  </si>
  <si>
    <t>800km</t>
  </si>
  <si>
    <t>700km</t>
  </si>
  <si>
    <t>650km</t>
  </si>
  <si>
    <t>Intuitive</t>
  </si>
  <si>
    <t>Useful</t>
  </si>
  <si>
    <t>Did you prefer it on or off generally (elaborate)</t>
  </si>
  <si>
    <t>Which version did you prefer</t>
  </si>
  <si>
    <t>Software/UI aesthetics</t>
  </si>
  <si>
    <t>Overall clarity of software's intended purpose</t>
  </si>
  <si>
    <t>Overall software's usefulness to you personally</t>
  </si>
  <si>
    <t>Overall feedback in short</t>
  </si>
  <si>
    <t xml:space="preserve"> What could be improved?</t>
  </si>
  <si>
    <t>2025/08/06 5:15:24 pm CET</t>
  </si>
  <si>
    <t>I consent</t>
  </si>
  <si>
    <t>18-24</t>
  </si>
  <si>
    <t>Male</t>
  </si>
  <si>
    <t>Technology or adjacent</t>
  </si>
  <si>
    <t>Daily</t>
  </si>
  <si>
    <t>No</t>
  </si>
  <si>
    <t>Tricky to get things lined up correctly, small measurement lines</t>
  </si>
  <si>
    <t>Off - for the evaluation questions the uncertainty wasn’t useful</t>
  </si>
  <si>
    <t>Digital</t>
  </si>
  <si>
    <t>Good - explanation of how to work the digital version would be good. Uncertain how to use the paper version</t>
  </si>
  <si>
    <t>See above</t>
  </si>
  <si>
    <t>2025/08/06 5:20:01 pm CET</t>
  </si>
  <si>
    <t>Rather off, unless I would need to evaluate with uncertain input values</t>
  </si>
  <si>
    <t>Well engineered and nice looking tool maybe not the most relevant in the LLM age.</t>
  </si>
  <si>
    <t>Maybe the uncertainty functionality</t>
  </si>
  <si>
    <t>2025/08/06 5:26:29 pm CET</t>
  </si>
  <si>
    <t xml:space="preserve">I preferred it off for exact answer questions however it gave a much clearer indication of a potential range for estimable questions </t>
  </si>
  <si>
    <t>Much better than using the paper model, I really enjoyed the click and drag functionality it made it a lot easier to gain precise answers. The uncertainty button was clear and intuitive.</t>
  </si>
  <si>
    <t>The rounded points on the axis was too big and could potentially cover up smaller numbers like decimals etc. so harder to get a more fine detailed answer. And also maybe a clearer explanation for the blue buttons at the bottom as it wasn’t as intuitive as the rest of the system</t>
  </si>
  <si>
    <t>2025/08/06 5:33:37 pm CET</t>
  </si>
  <si>
    <t xml:space="preserve">For the questions that asked how confident I was, I preferred it on because it gave me a rough ballpark of what range I could potentially squeeze out of a set amount of fuel. But when it just asked me for a rough estimation I turned it off. </t>
  </si>
  <si>
    <t xml:space="preserve">I wasn’t entirely sure if the draggable circles were draggable. There wasn’t much of a clue on screen to imply that they were indeed intractable. I thought that the uncertainty sliders would move the circles dark black circles but then I realised. Once I realised this, I knew from then on how to use the tool so I guess this was a one off struggle. The intuitiveness of having the other circle locked in place when you move one is appreciated as in real life I found that I had inadvertently moved the ruler when I was rotating it. </t>
  </si>
  <si>
    <t>2025/08/10 1:54:38 am CET</t>
  </si>
  <si>
    <t>On its own, the leaflet may take a user a couple of minutes to grasp, but with the software it is very easy to grasp how to use!</t>
  </si>
  <si>
    <t>I prefered it off, as it is clearer to see concrete answers. But, if I needed to figure out uncertainty it was very useful on.</t>
  </si>
  <si>
    <t>Good tool, but it seems as if calculations could be done automatically.</t>
  </si>
  <si>
    <t>Input boxes for values would be useful, instead of estimating position of the circles.</t>
  </si>
  <si>
    <t>2025/08/10 7:46:40 pm CET</t>
  </si>
  <si>
    <t>Logistics</t>
  </si>
  <si>
    <t>Wording of some questions were difficult to understand. Incriments on the UI are very small.</t>
  </si>
  <si>
    <t>Off, was clearer to see increments with it off.</t>
  </si>
  <si>
    <t>Works well but not very usefull to myself personally.</t>
  </si>
  <si>
    <t>Clearness of increments on scales.</t>
  </si>
  <si>
    <t>2025/08/10 7:50:44 pm CET</t>
  </si>
  <si>
    <t>Tesco</t>
  </si>
  <si>
    <t>off cause im dumb :)</t>
  </si>
  <si>
    <t>very good well done son</t>
  </si>
  <si>
    <t xml:space="preserve">instructions please </t>
  </si>
  <si>
    <t>2025/08/10 7:51:11 pm CET</t>
  </si>
  <si>
    <t>Business</t>
  </si>
  <si>
    <t>Preffered it off as It led me to a clearer picture but the uncertainty seems useful.</t>
  </si>
  <si>
    <t>The tasks were good, felt a little bit lengthy but the buttons were very intuitive to use and built a good picture of the fuel economy.</t>
  </si>
  <si>
    <t>Maybe some instructions on how to use the standard deviation sliders and what they exactly mean.</t>
  </si>
  <si>
    <t>2025/08/11 12:25:07 am CET</t>
  </si>
  <si>
    <t>working full time</t>
  </si>
  <si>
    <t>what</t>
  </si>
  <si>
    <t xml:space="preserve">Pure loved it </t>
  </si>
  <si>
    <t xml:space="preserve">The wording for some of the questions could have been made more clearer </t>
  </si>
  <si>
    <t>Averages</t>
  </si>
  <si>
    <t>Voided question</t>
  </si>
  <si>
    <t>Max</t>
  </si>
  <si>
    <t>Min</t>
  </si>
  <si>
    <t>Median</t>
  </si>
  <si>
    <t>Q3</t>
  </si>
  <si>
    <t>Q1</t>
  </si>
  <si>
    <t>Average</t>
  </si>
  <si>
    <t>Statistic</t>
  </si>
  <si>
    <t>Value</t>
  </si>
  <si>
    <t>Interacrtive nomogram</t>
  </si>
  <si>
    <t xml:space="preserve"> All certainties</t>
  </si>
  <si>
    <t>Physical nomogram</t>
  </si>
  <si>
    <t>Í</t>
  </si>
  <si>
    <t>How confident would you be that the car will have enough fuel? (900km)</t>
  </si>
  <si>
    <t>How confident would you be that the car will have enough fuel?  (750km)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</si>
</sst>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quot;m&quot;\ s&quot;s&quot;"/>
    <numFmt numFmtId="165" formatCode="0.0"/>
  </numFmts>
  <fonts count="6" x14ac:knownFonts="1">
    <font>
      <sz val="10"/>
      <color indexed="8"/>
      <name val="Helvetica Neue"/>
    </font>
    <font>
      <sz val="12"/>
      <color indexed="8"/>
      <name val="Helvetica Neue"/>
      <family val="2"/>
    </font>
    <font>
      <sz val="14"/>
      <color indexed="8"/>
      <name val="Helvetica Neue"/>
      <family val="2"/>
    </font>
    <font>
      <u/>
      <sz val="12"/>
      <color indexed="11"/>
      <name val="Helvetica Neue"/>
      <family val="2"/>
    </font>
    <font>
      <b/>
      <sz val="10"/>
      <color indexed="8"/>
      <name val="Helvetica Neue"/>
      <family val="2"/>
    </font>
    <font>
      <sz val="10"/>
      <color indexed="8"/>
      <name val="Helvetica Neue"/>
      <family val="2"/>
    </font>
  </fonts>
  <fills count="22">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rgb="FFFFFF00"/>
        <bgColor indexed="64"/>
      </patternFill>
    </fill>
    <fill>
      <patternFill patternType="solid">
        <fgColor theme="5"/>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theme="4"/>
        <bgColor indexed="64"/>
      </patternFill>
    </fill>
    <fill>
      <patternFill patternType="solid">
        <fgColor theme="5" tint="-0.249977111117893"/>
        <bgColor indexed="64"/>
      </patternFill>
    </fill>
    <fill>
      <patternFill patternType="solid">
        <fgColor theme="0"/>
        <bgColor indexed="64"/>
      </patternFill>
    </fill>
    <fill>
      <patternFill patternType="solid">
        <fgColor theme="6" tint="0.59999389629810485"/>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4" tint="0.39997558519241921"/>
        <bgColor indexed="64"/>
      </patternFill>
    </fill>
  </fills>
  <borders count="16">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applyNumberFormat="0" applyFill="0" applyBorder="0" applyProtection="0">
      <alignment vertical="top" wrapText="1"/>
    </xf>
  </cellStyleXfs>
  <cellXfs count="78">
    <xf numFmtId="0" fontId="0" fillId="0" borderId="0" xfId="0">
      <alignment vertical="top" wrapText="1"/>
    </xf>
    <xf numFmtId="0" fontId="2" fillId="0" borderId="0" xfId="0" applyFont="1" applyAlignment="1">
      <alignment horizontal="left" vertical="top" wrapText="1"/>
    </xf>
    <xf numFmtId="0" fontId="1" fillId="2" borderId="0" xfId="0" applyFont="1" applyFill="1" applyAlignment="1">
      <alignment horizontal="left" vertical="top" wrapText="1"/>
    </xf>
    <xf numFmtId="0" fontId="1" fillId="3" borderId="0" xfId="0" applyFont="1" applyFill="1" applyAlignment="1">
      <alignment horizontal="left" vertical="top" wrapText="1"/>
    </xf>
    <xf numFmtId="0" fontId="3" fillId="3" borderId="0" xfId="0" applyFont="1" applyFill="1" applyAlignment="1">
      <alignment horizontal="left" vertical="top" wrapText="1"/>
    </xf>
    <xf numFmtId="0" fontId="0" fillId="0" borderId="0" xfId="0" applyNumberFormat="1">
      <alignment vertical="top" wrapText="1"/>
    </xf>
    <xf numFmtId="0" fontId="4" fillId="4" borderId="1" xfId="0" applyFont="1" applyFill="1" applyBorder="1">
      <alignment vertical="top" wrapText="1"/>
    </xf>
    <xf numFmtId="0" fontId="4" fillId="5" borderId="2" xfId="0" applyFont="1" applyFill="1" applyBorder="1">
      <alignment vertical="top" wrapText="1"/>
    </xf>
    <xf numFmtId="0" fontId="0" fillId="0" borderId="3" xfId="0" applyBorder="1">
      <alignment vertical="top" wrapText="1"/>
    </xf>
    <xf numFmtId="0" fontId="0" fillId="0" borderId="4" xfId="0" applyBorder="1">
      <alignment vertical="top" wrapText="1"/>
    </xf>
    <xf numFmtId="0" fontId="4" fillId="5" borderId="5" xfId="0" applyFont="1" applyFill="1" applyBorder="1">
      <alignment vertical="top" wrapText="1"/>
    </xf>
    <xf numFmtId="0" fontId="0" fillId="0" borderId="6" xfId="0" applyBorder="1">
      <alignment vertical="top" wrapText="1"/>
    </xf>
    <xf numFmtId="0" fontId="0" fillId="0" borderId="7" xfId="0" applyBorder="1">
      <alignment vertical="top" wrapText="1"/>
    </xf>
    <xf numFmtId="0" fontId="0" fillId="0" borderId="0" xfId="0" applyNumberFormat="1" applyAlignment="1">
      <alignment vertical="top"/>
    </xf>
    <xf numFmtId="49" fontId="4" fillId="4" borderId="1" xfId="0" applyNumberFormat="1" applyFont="1" applyFill="1" applyBorder="1" applyAlignment="1">
      <alignment vertical="top"/>
    </xf>
    <xf numFmtId="49" fontId="4" fillId="4" borderId="1" xfId="0" applyNumberFormat="1" applyFont="1" applyFill="1" applyBorder="1">
      <alignment vertical="top" wrapText="1"/>
    </xf>
    <xf numFmtId="49" fontId="0" fillId="4" borderId="1" xfId="0" applyNumberForma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NumberFormat="1" applyBorder="1" applyAlignment="1">
      <alignment vertical="top"/>
    </xf>
    <xf numFmtId="164" fontId="0" fillId="0" borderId="4" xfId="0" applyNumberFormat="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7" xfId="0" applyNumberFormat="1" applyBorder="1" applyAlignment="1">
      <alignment vertical="top"/>
    </xf>
    <xf numFmtId="164" fontId="0" fillId="0" borderId="7" xfId="0" applyNumberFormat="1" applyBorder="1" applyAlignment="1">
      <alignment vertical="top"/>
    </xf>
    <xf numFmtId="0" fontId="0" fillId="0" borderId="7" xfId="0" applyBorder="1" applyAlignment="1">
      <alignment vertical="top"/>
    </xf>
    <xf numFmtId="165" fontId="0" fillId="6" borderId="6" xfId="0" applyNumberFormat="1" applyFill="1" applyBorder="1" applyAlignment="1">
      <alignment vertical="top"/>
    </xf>
    <xf numFmtId="165" fontId="0" fillId="6" borderId="7" xfId="0" applyNumberFormat="1" applyFill="1" applyBorder="1" applyAlignment="1">
      <alignment vertical="top"/>
    </xf>
    <xf numFmtId="49" fontId="0" fillId="6" borderId="7" xfId="0" applyNumberFormat="1" applyFill="1" applyBorder="1" applyAlignment="1">
      <alignment vertical="top"/>
    </xf>
    <xf numFmtId="164" fontId="0" fillId="6" borderId="7" xfId="0" applyNumberFormat="1" applyFill="1" applyBorder="1" applyAlignment="1">
      <alignment vertical="top"/>
    </xf>
    <xf numFmtId="165" fontId="0" fillId="6" borderId="7" xfId="0" applyNumberFormat="1" applyFill="1" applyBorder="1">
      <alignment vertical="top" wrapText="1"/>
    </xf>
    <xf numFmtId="0" fontId="0" fillId="7" borderId="6" xfId="0" applyFill="1" applyBorder="1" applyAlignment="1">
      <alignment vertical="top"/>
    </xf>
    <xf numFmtId="0" fontId="0" fillId="7" borderId="7" xfId="0" applyFill="1" applyBorder="1" applyAlignment="1">
      <alignment vertical="top"/>
    </xf>
    <xf numFmtId="0" fontId="0" fillId="7" borderId="7" xfId="0" applyNumberFormat="1" applyFill="1" applyBorder="1" applyAlignment="1">
      <alignment vertical="top"/>
    </xf>
    <xf numFmtId="164" fontId="0" fillId="7" borderId="7" xfId="0" applyNumberFormat="1" applyFill="1" applyBorder="1" applyAlignment="1">
      <alignment vertical="top"/>
    </xf>
    <xf numFmtId="0" fontId="0" fillId="8" borderId="6" xfId="0" applyFill="1" applyBorder="1" applyAlignment="1">
      <alignment vertical="top"/>
    </xf>
    <xf numFmtId="0" fontId="0" fillId="8" borderId="7" xfId="0" applyFill="1" applyBorder="1" applyAlignment="1">
      <alignment vertical="top"/>
    </xf>
    <xf numFmtId="0" fontId="0" fillId="8" borderId="7" xfId="0" applyNumberFormat="1" applyFill="1" applyBorder="1" applyAlignment="1">
      <alignment vertical="top"/>
    </xf>
    <xf numFmtId="164" fontId="0" fillId="8" borderId="7" xfId="0" applyNumberFormat="1" applyFill="1" applyBorder="1" applyAlignment="1">
      <alignment vertical="top"/>
    </xf>
    <xf numFmtId="0" fontId="1" fillId="0" borderId="0" xfId="0" applyFont="1" applyAlignment="1">
      <alignment horizontal="left" vertical="top" wrapText="1"/>
    </xf>
    <xf numFmtId="0" fontId="0" fillId="0" borderId="0" xfId="0">
      <alignment vertical="top" wrapText="1"/>
    </xf>
    <xf numFmtId="0" fontId="1" fillId="0" borderId="0" xfId="0" applyFont="1" applyAlignment="1">
      <alignment horizontal="center" vertical="center"/>
    </xf>
    <xf numFmtId="49" fontId="4" fillId="4" borderId="1" xfId="0" applyNumberFormat="1" applyFont="1" applyFill="1" applyBorder="1" applyAlignment="1">
      <alignment horizontal="right" vertical="top"/>
    </xf>
    <xf numFmtId="49" fontId="4" fillId="5" borderId="2" xfId="0" applyNumberFormat="1" applyFont="1" applyFill="1" applyBorder="1" applyAlignment="1">
      <alignment horizontal="right" vertical="top"/>
    </xf>
    <xf numFmtId="49" fontId="4" fillId="5" borderId="5" xfId="0" applyNumberFormat="1" applyFont="1" applyFill="1" applyBorder="1" applyAlignment="1">
      <alignment horizontal="right" vertical="top"/>
    </xf>
    <xf numFmtId="49" fontId="4" fillId="6" borderId="5" xfId="0" applyNumberFormat="1" applyFont="1" applyFill="1" applyBorder="1" applyAlignment="1">
      <alignment horizontal="right" vertical="top"/>
    </xf>
    <xf numFmtId="49" fontId="4" fillId="7" borderId="5" xfId="0" applyNumberFormat="1" applyFont="1" applyFill="1" applyBorder="1" applyAlignment="1">
      <alignment horizontal="right" vertical="top"/>
    </xf>
    <xf numFmtId="49" fontId="4" fillId="8" borderId="5" xfId="0" applyNumberFormat="1" applyFont="1" applyFill="1" applyBorder="1" applyAlignment="1">
      <alignment horizontal="right" vertical="top"/>
    </xf>
    <xf numFmtId="0" fontId="0" fillId="0" borderId="0" xfId="0" applyNumberFormat="1" applyAlignment="1">
      <alignment horizontal="right" vertical="top"/>
    </xf>
    <xf numFmtId="0" fontId="5" fillId="0" borderId="0" xfId="0" applyNumberFormat="1" applyFont="1" applyAlignment="1">
      <alignment horizontal="right" vertical="top"/>
    </xf>
    <xf numFmtId="0" fontId="5" fillId="0" borderId="0" xfId="0" applyNumberFormat="1" applyFont="1" applyAlignment="1">
      <alignment vertical="top"/>
    </xf>
    <xf numFmtId="2" fontId="0" fillId="0" borderId="0" xfId="0" applyNumberFormat="1" applyAlignment="1">
      <alignment horizontal="left" vertical="top"/>
    </xf>
    <xf numFmtId="0" fontId="0" fillId="0" borderId="0" xfId="0" applyNumberFormat="1" applyAlignment="1">
      <alignment horizontal="left" vertical="top"/>
    </xf>
    <xf numFmtId="0" fontId="5" fillId="0" borderId="10" xfId="0" applyNumberFormat="1" applyFont="1" applyBorder="1" applyAlignment="1">
      <alignment horizontal="right" vertical="top"/>
    </xf>
    <xf numFmtId="2" fontId="0" fillId="0" borderId="11" xfId="0" applyNumberFormat="1" applyBorder="1" applyAlignment="1">
      <alignment horizontal="left" vertical="top"/>
    </xf>
    <xf numFmtId="0" fontId="0" fillId="0" borderId="11" xfId="0" applyNumberFormat="1" applyBorder="1" applyAlignment="1">
      <alignment horizontal="left" vertical="top"/>
    </xf>
    <xf numFmtId="0" fontId="5" fillId="0" borderId="12" xfId="0" applyNumberFormat="1" applyFont="1" applyBorder="1" applyAlignment="1">
      <alignment horizontal="right" vertical="top"/>
    </xf>
    <xf numFmtId="0" fontId="0" fillId="0" borderId="13" xfId="0" applyNumberFormat="1" applyBorder="1" applyAlignment="1">
      <alignment horizontal="left" vertical="top"/>
    </xf>
    <xf numFmtId="0" fontId="5" fillId="9" borderId="14" xfId="0" applyNumberFormat="1" applyFont="1" applyFill="1" applyBorder="1" applyAlignment="1">
      <alignment horizontal="center" vertical="top"/>
    </xf>
    <xf numFmtId="0" fontId="0" fillId="9" borderId="15" xfId="0" applyFill="1" applyBorder="1" applyAlignment="1">
      <alignment horizontal="center" vertical="top"/>
    </xf>
    <xf numFmtId="0" fontId="5" fillId="10" borderId="14" xfId="0" applyNumberFormat="1" applyFont="1" applyFill="1" applyBorder="1" applyAlignment="1">
      <alignment horizontal="center" vertical="top"/>
    </xf>
    <xf numFmtId="0" fontId="5" fillId="10" borderId="15" xfId="0" applyNumberFormat="1" applyFont="1" applyFill="1" applyBorder="1" applyAlignment="1">
      <alignment horizontal="center" vertical="top"/>
    </xf>
    <xf numFmtId="0" fontId="5" fillId="11" borderId="8" xfId="0" applyNumberFormat="1" applyFont="1" applyFill="1" applyBorder="1" applyAlignment="1">
      <alignment horizontal="right" vertical="top"/>
    </xf>
    <xf numFmtId="0" fontId="5" fillId="12" borderId="9" xfId="0" applyNumberFormat="1" applyFont="1" applyFill="1" applyBorder="1" applyAlignment="1">
      <alignment horizontal="left" vertical="top"/>
    </xf>
    <xf numFmtId="49" fontId="4" fillId="13" borderId="1" xfId="0" applyNumberFormat="1" applyFont="1" applyFill="1" applyBorder="1" applyAlignment="1">
      <alignment vertical="top"/>
    </xf>
    <xf numFmtId="49" fontId="4" fillId="14" borderId="1" xfId="0" applyNumberFormat="1" applyFont="1" applyFill="1" applyBorder="1" applyAlignment="1">
      <alignment vertical="top"/>
    </xf>
    <xf numFmtId="49" fontId="4" fillId="15" borderId="1" xfId="0" applyNumberFormat="1" applyFont="1" applyFill="1" applyBorder="1" applyAlignment="1">
      <alignment vertical="top"/>
    </xf>
    <xf numFmtId="49" fontId="4" fillId="16" borderId="1" xfId="0" applyNumberFormat="1" applyFont="1" applyFill="1" applyBorder="1" applyAlignment="1">
      <alignment vertical="top"/>
    </xf>
    <xf numFmtId="0" fontId="0" fillId="17" borderId="0" xfId="0" applyFill="1" applyBorder="1" applyAlignment="1">
      <alignment vertical="top"/>
    </xf>
    <xf numFmtId="0" fontId="0" fillId="18" borderId="0" xfId="0" applyNumberFormat="1" applyFill="1" applyAlignment="1">
      <alignment vertical="top"/>
    </xf>
    <xf numFmtId="49" fontId="0" fillId="18" borderId="7" xfId="0" applyNumberFormat="1" applyFill="1" applyBorder="1" applyAlignment="1">
      <alignment vertical="top"/>
    </xf>
    <xf numFmtId="49" fontId="0" fillId="19" borderId="4" xfId="0" applyNumberFormat="1" applyFill="1" applyBorder="1" applyAlignment="1">
      <alignment vertical="top"/>
    </xf>
    <xf numFmtId="49" fontId="0" fillId="19" borderId="7" xfId="0" applyNumberFormat="1" applyFill="1" applyBorder="1" applyAlignment="1">
      <alignment vertical="top"/>
    </xf>
    <xf numFmtId="49" fontId="0" fillId="20" borderId="7" xfId="0" applyNumberFormat="1" applyFill="1" applyBorder="1" applyAlignment="1">
      <alignment vertical="top"/>
    </xf>
    <xf numFmtId="49" fontId="0" fillId="19" borderId="7" xfId="0" applyNumberFormat="1" applyFill="1" applyBorder="1" applyAlignment="1">
      <alignment vertical="top" wrapText="1"/>
    </xf>
    <xf numFmtId="49" fontId="0" fillId="21" borderId="7" xfId="0" applyNumberFormat="1" applyFill="1" applyBorder="1" applyAlignment="1">
      <alignment vertical="top"/>
    </xf>
    <xf numFmtId="49" fontId="0" fillId="21" borderId="7" xfId="0" applyNumberFormat="1" applyFill="1" applyBorder="1" applyAlignment="1">
      <alignment vertical="top" wrapText="1"/>
    </xf>
    <xf numFmtId="49" fontId="4" fillId="4" borderId="1" xfId="0" applyNumberFormat="1" applyFont="1" applyFill="1" applyBorder="1" applyAlignment="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rgbColor rgb="FF72FCE9"/>
      <rgbColor rgb="FFFFF056"/>
      <rgbColor rgb="FF56C1FE"/>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_xlchart.v1.41</cx:f>
      </cx:numDim>
    </cx:data>
  </cx:chartData>
  <cx:chart>
    <cx:title pos="t" align="ctr" overlay="0">
      <cx:tx>
        <cx:txData>
          <cx:v>Prob nomogram, all certainties</cx:v>
        </cx:txData>
      </cx:tx>
      <cx:txPr>
        <a:bodyPr spcFirstLastPara="1" vertOverflow="ellipsis" horzOverflow="overflow" wrap="square" lIns="0" tIns="0" rIns="0" bIns="0" anchor="ctr" anchorCtr="1"/>
        <a:lstStyle/>
        <a:p>
          <a:pPr algn="ctr" rtl="0">
            <a:defRPr/>
          </a:pPr>
          <a:r>
            <a:rPr lang="en-GB" sz="1400" b="0" i="0" u="none" strike="noStrike" baseline="0">
              <a:solidFill>
                <a:srgbClr val="000000">
                  <a:lumMod val="65000"/>
                  <a:lumOff val="35000"/>
                </a:srgbClr>
              </a:solidFill>
              <a:latin typeface="Helvetica Neue"/>
              <a:ea typeface="Helvetica Neue"/>
              <a:cs typeface="Helvetica Neue"/>
            </a:rPr>
            <a:t>Prob nomogram, all certainties</a:t>
          </a:r>
        </a:p>
      </cx:txPr>
    </cx:title>
    <cx:plotArea>
      <cx:plotAreaRegion>
        <cx:series layoutId="boxWhisker" uniqueId="{865795B1-6CEA-B74D-8EFB-DA951E74AC26}">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boxWhisker" uniqueId="{FD5FC93E-25A8-F34C-94CD-8B7A33FC7302}">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2</xdr:col>
      <xdr:colOff>151866</xdr:colOff>
      <xdr:row>14</xdr:row>
      <xdr:rowOff>147072</xdr:rowOff>
    </xdr:from>
    <xdr:to>
      <xdr:col>5</xdr:col>
      <xdr:colOff>816174</xdr:colOff>
      <xdr:row>25</xdr:row>
      <xdr:rowOff>30551</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FB2ABA7-0928-BE32-3624-5B2801E94B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466342" y="6141827"/>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103021</xdr:colOff>
      <xdr:row>25</xdr:row>
      <xdr:rowOff>129309</xdr:rowOff>
    </xdr:from>
    <xdr:to>
      <xdr:col>5</xdr:col>
      <xdr:colOff>767329</xdr:colOff>
      <xdr:row>36</xdr:row>
      <xdr:rowOff>39433</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F781765-77CA-8C04-5C78-B84A0A722C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417497" y="8983785"/>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1"/>
  <sheetViews>
    <sheetView showGridLines="0" workbookViewId="0">
      <selection activeCell="D11" sqref="D11"/>
    </sheetView>
  </sheetViews>
  <sheetFormatPr baseColWidth="10" defaultColWidth="10" defaultRowHeight="13" customHeight="1" x14ac:dyDescent="0.15"/>
  <cols>
    <col min="1" max="1" width="2" customWidth="1"/>
    <col min="2" max="4" width="33.6640625" customWidth="1"/>
  </cols>
  <sheetData>
    <row r="3" spans="2:4" ht="0" hidden="1" customHeight="1" x14ac:dyDescent="0.15">
      <c r="B3" s="39" t="s">
        <v>0</v>
      </c>
      <c r="C3" s="40"/>
      <c r="D3" s="40"/>
    </row>
    <row r="7" spans="2:4" ht="19" x14ac:dyDescent="0.15">
      <c r="B7" s="1" t="s">
        <v>1</v>
      </c>
      <c r="C7" s="1" t="s">
        <v>2</v>
      </c>
      <c r="D7" s="1" t="s">
        <v>3</v>
      </c>
    </row>
    <row r="9" spans="2:4" ht="17" x14ac:dyDescent="0.15">
      <c r="B9" s="2" t="s">
        <v>4</v>
      </c>
      <c r="C9" s="2"/>
      <c r="D9" s="2"/>
    </row>
    <row r="10" spans="2:4" ht="17" x14ac:dyDescent="0.15">
      <c r="B10" s="3"/>
      <c r="C10" s="3" t="s">
        <v>5</v>
      </c>
      <c r="D10" s="4" t="s">
        <v>6</v>
      </c>
    </row>
    <row r="11" spans="2:4" ht="17" x14ac:dyDescent="0.15">
      <c r="B11" s="3"/>
      <c r="C11" s="3" t="s">
        <v>7</v>
      </c>
      <c r="D11" s="4" t="s">
        <v>8</v>
      </c>
    </row>
  </sheetData>
  <mergeCells count="1">
    <mergeCell ref="B3:D3"/>
  </mergeCells>
  <hyperlinks>
    <hyperlink ref="D10" location="'Sheet 1 - Probabillistic Nomogr'!R1C1" display="Sheet 1 - Probabillistic Nomogr" xr:uid="{00000000-0004-0000-0000-000000000000}"/>
    <hyperlink ref="D11" location="'Sheet 1 - Probabilistic Nomogra'!R2C1" display="Sheet 1 - Probabilistic Nomogra"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Y10"/>
  <sheetViews>
    <sheetView showGridLines="0" workbookViewId="0"/>
  </sheetViews>
  <sheetFormatPr baseColWidth="10" defaultColWidth="8.33203125" defaultRowHeight="20" customHeight="1" x14ac:dyDescent="0.15"/>
  <cols>
    <col min="1" max="1" width="23.83203125" style="5" customWidth="1"/>
    <col min="2" max="2" width="46.5" style="5" customWidth="1"/>
    <col min="3" max="3" width="5.83203125" style="5" customWidth="1"/>
    <col min="4" max="4" width="7.83203125" style="5" customWidth="1"/>
    <col min="5" max="5" width="37.6640625" style="5" customWidth="1"/>
    <col min="6" max="6" width="33.33203125" style="5" customWidth="1"/>
    <col min="7" max="7" width="42" style="5" customWidth="1"/>
    <col min="8" max="8" width="34.6640625" style="5" customWidth="1"/>
    <col min="9" max="9" width="34.1640625" style="5" customWidth="1"/>
    <col min="10" max="10" width="70.5" style="5" customWidth="1"/>
    <col min="11" max="11" width="35" style="5" customWidth="1"/>
    <col min="12" max="12" width="75.6640625" style="5" customWidth="1"/>
    <col min="13" max="13" width="35" style="5" customWidth="1"/>
    <col min="14" max="14" width="75.33203125" style="5" customWidth="1"/>
    <col min="15" max="15" width="35" style="5" customWidth="1"/>
    <col min="16" max="16" width="62" style="5" customWidth="1"/>
    <col min="17" max="17" width="35" style="5" customWidth="1"/>
    <col min="18" max="18" width="56.5" style="5" customWidth="1"/>
    <col min="19" max="19" width="35" style="5" customWidth="1"/>
    <col min="20" max="20" width="63" style="5" customWidth="1"/>
    <col min="21" max="21" width="35" style="5" customWidth="1"/>
    <col min="22" max="22" width="56.5" style="5" customWidth="1"/>
    <col min="23" max="23" width="35" style="5" customWidth="1"/>
    <col min="24" max="24" width="52.33203125" style="5" customWidth="1"/>
    <col min="25" max="29" width="6.6640625" style="5" customWidth="1"/>
    <col min="30" max="30" width="10.83203125" style="5" customWidth="1"/>
    <col min="31" max="31" width="60.6640625" style="5" customWidth="1"/>
    <col min="32" max="32" width="35.83203125" style="5" customWidth="1"/>
    <col min="33" max="33" width="75.6640625" style="5" customWidth="1"/>
    <col min="34" max="34" width="35.83203125" style="5" customWidth="1"/>
    <col min="35" max="35" width="74.33203125" style="5" customWidth="1"/>
    <col min="36" max="36" width="35.83203125" style="5" customWidth="1"/>
    <col min="37" max="37" width="62" style="5" customWidth="1"/>
    <col min="38" max="38" width="35.83203125" style="5" customWidth="1"/>
    <col min="39" max="39" width="57" style="5" customWidth="1"/>
    <col min="40" max="40" width="35" style="5" customWidth="1"/>
    <col min="41" max="41" width="63" style="5" customWidth="1"/>
    <col min="42" max="42" width="35" style="5" customWidth="1"/>
    <col min="43" max="43" width="57" style="5" customWidth="1"/>
    <col min="44" max="44" width="35.83203125" style="5" customWidth="1"/>
    <col min="45" max="45" width="52.33203125" style="5" customWidth="1"/>
    <col min="46" max="49" width="7.6640625" style="5" customWidth="1"/>
    <col min="50" max="50" width="8.5" style="5" customWidth="1"/>
    <col min="51" max="51" width="10.83203125" style="5" customWidth="1"/>
    <col min="52" max="52" width="28" style="5" customWidth="1"/>
    <col min="53" max="53" width="17.5" style="5" customWidth="1"/>
    <col min="54" max="54" width="29.1640625" style="5" customWidth="1"/>
    <col min="55" max="55" width="18.1640625" style="5" customWidth="1"/>
    <col min="56" max="56" width="16.33203125" style="5" customWidth="1"/>
    <col min="57" max="57" width="94.5" style="5" customWidth="1"/>
    <col min="58" max="58" width="7.83203125" style="5" customWidth="1"/>
    <col min="59" max="59" width="6.5" style="5" customWidth="1"/>
    <col min="60" max="60" width="7.83203125" style="5" customWidth="1"/>
    <col min="61" max="61" width="6.5" style="5" customWidth="1"/>
    <col min="62" max="62" width="7.83203125" style="5" customWidth="1"/>
    <col min="63" max="63" width="6.5" style="5" customWidth="1"/>
    <col min="64" max="64" width="7.83203125" style="5" customWidth="1"/>
    <col min="65" max="65" width="6.5" style="5" customWidth="1"/>
    <col min="66" max="66" width="7.83203125" style="5" customWidth="1"/>
    <col min="67" max="67" width="6.5" style="5" customWidth="1"/>
    <col min="68" max="68" width="88.6640625" style="5" customWidth="1"/>
    <col min="69" max="69" width="24.1640625" style="5" customWidth="1"/>
    <col min="70" max="70" width="19.6640625" style="5" customWidth="1"/>
    <col min="71" max="71" width="37.6640625" style="5" customWidth="1"/>
    <col min="72" max="72" width="38.83203125" style="5" customWidth="1"/>
    <col min="73" max="73" width="17.5" style="5" customWidth="1"/>
    <col min="74" max="74" width="18.1640625" style="5" customWidth="1"/>
    <col min="75" max="75" width="16.33203125" style="5" customWidth="1"/>
    <col min="76" max="76" width="97.83203125" style="5" customWidth="1"/>
    <col min="77" max="77" width="75.33203125" style="5" customWidth="1"/>
    <col min="78" max="78" width="8.33203125" style="5" customWidth="1"/>
    <col min="79" max="16384" width="8.33203125" style="5"/>
  </cols>
  <sheetData>
    <row r="1" spans="1:77" ht="20.25" customHeight="1" x14ac:dyDescent="0.15">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row>
    <row r="2" spans="1:77" ht="20.25" customHeight="1" x14ac:dyDescent="0.15">
      <c r="A2" s="7"/>
      <c r="B2" s="8"/>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row>
    <row r="3" spans="1:77" ht="20" customHeight="1" x14ac:dyDescent="0.15">
      <c r="A3" s="10"/>
      <c r="B3" s="11"/>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row>
    <row r="4" spans="1:77" ht="20" customHeight="1" x14ac:dyDescent="0.15">
      <c r="A4" s="10"/>
      <c r="B4" s="11"/>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row>
    <row r="5" spans="1:77" ht="20" customHeight="1" x14ac:dyDescent="0.15">
      <c r="A5" s="10"/>
      <c r="B5" s="11"/>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row>
    <row r="6" spans="1:77" ht="20" customHeight="1" x14ac:dyDescent="0.15">
      <c r="A6" s="10"/>
      <c r="B6" s="11"/>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row>
    <row r="7" spans="1:77" ht="20" customHeight="1" x14ac:dyDescent="0.15">
      <c r="A7" s="10"/>
      <c r="B7" s="11"/>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row>
    <row r="8" spans="1:77" ht="20" customHeight="1" x14ac:dyDescent="0.15">
      <c r="A8" s="10"/>
      <c r="B8" s="11"/>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row>
    <row r="9" spans="1:77" ht="20" customHeight="1" x14ac:dyDescent="0.15">
      <c r="A9" s="10"/>
      <c r="B9" s="11"/>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row>
    <row r="10" spans="1:77" ht="20" customHeight="1" x14ac:dyDescent="0.15">
      <c r="A10" s="10"/>
      <c r="B10" s="11"/>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row>
  </sheetData>
  <pageMargins left="1" right="1" top="1" bottom="1" header="0.25" footer="0.25"/>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Y35"/>
  <sheetViews>
    <sheetView showGridLines="0" tabSelected="1" topLeftCell="G2" zoomScale="64" zoomScaleNormal="217" workbookViewId="0">
      <selection activeCell="AY2" sqref="AY2"/>
    </sheetView>
  </sheetViews>
  <sheetFormatPr baseColWidth="10" defaultColWidth="8.33203125" defaultRowHeight="20" customHeight="1" x14ac:dyDescent="0.15"/>
  <cols>
    <col min="1" max="1" width="36.33203125" style="48" customWidth="1"/>
    <col min="2" max="2" width="46.5" style="13" customWidth="1"/>
    <col min="3" max="3" width="5.83203125" style="13" customWidth="1"/>
    <col min="4" max="4" width="7.83203125" style="13" customWidth="1"/>
    <col min="5" max="5" width="37.6640625" style="13" customWidth="1"/>
    <col min="6" max="6" width="33.33203125" style="13" customWidth="1"/>
    <col min="7" max="7" width="42" style="13" customWidth="1"/>
    <col min="8" max="8" width="34.6640625" style="13" customWidth="1"/>
    <col min="9" max="9" width="34.1640625" style="13" customWidth="1"/>
    <col min="10" max="10" width="60.6640625" style="13" customWidth="1"/>
    <col min="11" max="11" width="35.83203125" style="13" customWidth="1"/>
    <col min="12" max="12" width="75.6640625" style="13" customWidth="1"/>
    <col min="13" max="13" width="35.83203125" style="13" customWidth="1"/>
    <col min="14" max="14" width="74.33203125" style="13" customWidth="1"/>
    <col min="15" max="15" width="35.83203125" style="13" customWidth="1"/>
    <col min="16" max="16" width="62" style="13" customWidth="1"/>
    <col min="17" max="17" width="35.83203125" style="13" customWidth="1"/>
    <col min="18" max="18" width="57" style="13" customWidth="1"/>
    <col min="19" max="19" width="35" style="13" customWidth="1"/>
    <col min="20" max="20" width="63" style="13" customWidth="1"/>
    <col min="21" max="21" width="35" style="13" customWidth="1"/>
    <col min="22" max="22" width="57" style="13" customWidth="1"/>
    <col min="23" max="23" width="35.83203125" style="13" customWidth="1"/>
    <col min="24" max="24" width="52.33203125" style="13" customWidth="1"/>
    <col min="25" max="28" width="7.6640625" style="13" customWidth="1"/>
    <col min="29" max="29" width="8.5" style="13" customWidth="1"/>
    <col min="30" max="30" width="10.83203125" style="13" customWidth="1"/>
    <col min="31" max="31" width="28" style="13" customWidth="1"/>
    <col min="32" max="32" width="17.5" style="13" customWidth="1"/>
    <col min="33" max="33" width="29.1640625" style="13" customWidth="1"/>
    <col min="34" max="34" width="18.1640625" style="13" customWidth="1"/>
    <col min="35" max="35" width="16.33203125" style="13" customWidth="1"/>
    <col min="36" max="36" width="48" style="13" customWidth="1"/>
    <col min="37" max="37" width="61.5" style="13" customWidth="1"/>
    <col min="38" max="38" width="35" style="13" customWidth="1"/>
    <col min="39" max="39" width="75.6640625" style="13" customWidth="1"/>
    <col min="40" max="40" width="35" style="13" customWidth="1"/>
    <col min="41" max="41" width="75.33203125" style="13" customWidth="1"/>
    <col min="42" max="42" width="35" style="13" customWidth="1"/>
    <col min="43" max="43" width="62" style="13" customWidth="1"/>
    <col min="44" max="44" width="35" style="13" customWidth="1"/>
    <col min="45" max="45" width="56.5" style="13" customWidth="1"/>
    <col min="46" max="46" width="35" style="13" customWidth="1"/>
    <col min="47" max="47" width="63" style="13" customWidth="1"/>
    <col min="48" max="48" width="35" style="13" customWidth="1"/>
    <col min="49" max="49" width="56.5" style="13" customWidth="1"/>
    <col min="50" max="50" width="35" style="13" customWidth="1"/>
    <col min="51" max="51" width="52.33203125" style="13" customWidth="1"/>
    <col min="52" max="56" width="6.6640625" style="13" customWidth="1"/>
    <col min="57" max="57" width="10.83203125" style="13" customWidth="1"/>
    <col min="58" max="58" width="7.83203125" style="13" customWidth="1"/>
    <col min="59" max="59" width="6.5" style="13" customWidth="1"/>
    <col min="60" max="60" width="7.83203125" style="13" customWidth="1"/>
    <col min="61" max="61" width="6.5" style="13" customWidth="1"/>
    <col min="62" max="62" width="7.83203125" style="13" customWidth="1"/>
    <col min="63" max="63" width="6.5" style="13" customWidth="1"/>
    <col min="64" max="64" width="7.83203125" style="13" customWidth="1"/>
    <col min="65" max="65" width="6.5" style="13" customWidth="1"/>
    <col min="66" max="66" width="7.83203125" style="13" customWidth="1"/>
    <col min="67" max="67" width="6.5" style="13" customWidth="1"/>
    <col min="68" max="68" width="166.6640625" style="13" customWidth="1"/>
    <col min="69" max="69" width="24.1640625" style="13" customWidth="1"/>
    <col min="70" max="70" width="19.6640625" style="13" customWidth="1"/>
    <col min="71" max="71" width="37.6640625" style="13" customWidth="1"/>
    <col min="72" max="72" width="38.83203125" style="13" customWidth="1"/>
    <col min="73" max="73" width="17.5" style="13" customWidth="1"/>
    <col min="74" max="74" width="18.1640625" style="13" customWidth="1"/>
    <col min="75" max="75" width="16.33203125" style="13" customWidth="1"/>
    <col min="76" max="77" width="166.6640625" style="13" customWidth="1"/>
    <col min="78" max="78" width="8.33203125" style="13" customWidth="1"/>
    <col min="79" max="16384" width="8.33203125" style="13"/>
  </cols>
  <sheetData>
    <row r="1" spans="1:77" ht="27.75" customHeight="1" x14ac:dyDescent="0.15">
      <c r="A1" s="41" t="s">
        <v>7</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c r="AZ1" s="41"/>
      <c r="BA1" s="41"/>
      <c r="BB1" s="41"/>
      <c r="BC1" s="41"/>
      <c r="BD1" s="41"/>
      <c r="BE1" s="41"/>
      <c r="BF1" s="41"/>
      <c r="BG1" s="41"/>
      <c r="BH1" s="41"/>
      <c r="BI1" s="41"/>
      <c r="BJ1" s="41"/>
      <c r="BK1" s="41"/>
      <c r="BL1" s="41"/>
      <c r="BM1" s="41"/>
      <c r="BN1" s="41"/>
      <c r="BO1" s="41"/>
      <c r="BP1" s="41"/>
      <c r="BQ1" s="41"/>
      <c r="BR1" s="41"/>
      <c r="BS1" s="41"/>
      <c r="BT1" s="41"/>
      <c r="BU1" s="41"/>
      <c r="BV1" s="41"/>
      <c r="BW1" s="41"/>
      <c r="BX1" s="41"/>
      <c r="BY1" s="41"/>
    </row>
    <row r="2" spans="1:77" ht="80.25" customHeight="1" x14ac:dyDescent="0.15">
      <c r="A2" s="42" t="s">
        <v>9</v>
      </c>
      <c r="B2" s="15" t="s">
        <v>10</v>
      </c>
      <c r="C2" s="14" t="s">
        <v>11</v>
      </c>
      <c r="D2" s="14" t="s">
        <v>12</v>
      </c>
      <c r="E2" s="14" t="s">
        <v>13</v>
      </c>
      <c r="F2" s="14" t="s">
        <v>14</v>
      </c>
      <c r="G2" s="14" t="s">
        <v>15</v>
      </c>
      <c r="H2" s="14" t="s">
        <v>16</v>
      </c>
      <c r="I2" s="14" t="s">
        <v>17</v>
      </c>
      <c r="J2" s="14" t="s">
        <v>18</v>
      </c>
      <c r="K2" s="14" t="s">
        <v>19</v>
      </c>
      <c r="L2" s="14" t="s">
        <v>20</v>
      </c>
      <c r="M2" s="14" t="s">
        <v>19</v>
      </c>
      <c r="N2" s="14" t="s">
        <v>21</v>
      </c>
      <c r="O2" s="14" t="s">
        <v>19</v>
      </c>
      <c r="P2" s="14" t="s">
        <v>22</v>
      </c>
      <c r="Q2" s="14" t="s">
        <v>19</v>
      </c>
      <c r="R2" s="14" t="s">
        <v>23</v>
      </c>
      <c r="S2" s="14" t="s">
        <v>24</v>
      </c>
      <c r="T2" s="14" t="s">
        <v>25</v>
      </c>
      <c r="U2" s="14" t="s">
        <v>24</v>
      </c>
      <c r="V2" s="14" t="s">
        <v>26</v>
      </c>
      <c r="W2" s="14" t="s">
        <v>19</v>
      </c>
      <c r="X2" s="77" t="s">
        <v>123</v>
      </c>
      <c r="Y2" s="66" t="s">
        <v>27</v>
      </c>
      <c r="Z2" s="66" t="s">
        <v>28</v>
      </c>
      <c r="AA2" s="66" t="s">
        <v>29</v>
      </c>
      <c r="AB2" s="66" t="s">
        <v>30</v>
      </c>
      <c r="AC2" s="66" t="s">
        <v>31</v>
      </c>
      <c r="AD2" s="67" t="s">
        <v>32</v>
      </c>
      <c r="AE2" s="66" t="s">
        <v>33</v>
      </c>
      <c r="AF2" s="66" t="s">
        <v>34</v>
      </c>
      <c r="AG2" s="66" t="s">
        <v>35</v>
      </c>
      <c r="AH2" s="66" t="s">
        <v>36</v>
      </c>
      <c r="AI2" s="66" t="s">
        <v>37</v>
      </c>
      <c r="AJ2" s="14" t="s">
        <v>38</v>
      </c>
      <c r="AK2" s="16" t="s">
        <v>39</v>
      </c>
      <c r="AL2" s="14" t="s">
        <v>24</v>
      </c>
      <c r="AM2" s="14" t="s">
        <v>40</v>
      </c>
      <c r="AN2" s="14" t="s">
        <v>24</v>
      </c>
      <c r="AO2" s="14" t="s">
        <v>41</v>
      </c>
      <c r="AP2" s="14" t="s">
        <v>24</v>
      </c>
      <c r="AQ2" s="14" t="s">
        <v>42</v>
      </c>
      <c r="AR2" s="14" t="s">
        <v>24</v>
      </c>
      <c r="AS2" s="14" t="s">
        <v>43</v>
      </c>
      <c r="AT2" s="14" t="s">
        <v>24</v>
      </c>
      <c r="AU2" s="14" t="s">
        <v>44</v>
      </c>
      <c r="AV2" s="14" t="s">
        <v>24</v>
      </c>
      <c r="AW2" s="14" t="s">
        <v>45</v>
      </c>
      <c r="AX2" s="14" t="s">
        <v>24</v>
      </c>
      <c r="AY2" s="77" t="s">
        <v>124</v>
      </c>
      <c r="AZ2" s="64" t="s">
        <v>46</v>
      </c>
      <c r="BA2" s="64" t="s">
        <v>47</v>
      </c>
      <c r="BB2" s="64" t="s">
        <v>48</v>
      </c>
      <c r="BC2" s="64" t="s">
        <v>49</v>
      </c>
      <c r="BD2" s="64" t="s">
        <v>50</v>
      </c>
      <c r="BE2" s="65" t="s">
        <v>32</v>
      </c>
      <c r="BF2" s="14" t="s">
        <v>51</v>
      </c>
      <c r="BG2" s="14" t="s">
        <v>52</v>
      </c>
      <c r="BH2" s="14" t="s">
        <v>51</v>
      </c>
      <c r="BI2" s="14" t="s">
        <v>52</v>
      </c>
      <c r="BJ2" s="14" t="s">
        <v>51</v>
      </c>
      <c r="BK2" s="14" t="s">
        <v>52</v>
      </c>
      <c r="BL2" s="14" t="s">
        <v>51</v>
      </c>
      <c r="BM2" s="14" t="s">
        <v>52</v>
      </c>
      <c r="BN2" s="14" t="s">
        <v>51</v>
      </c>
      <c r="BO2" s="14" t="s">
        <v>52</v>
      </c>
      <c r="BP2" s="14" t="s">
        <v>53</v>
      </c>
      <c r="BQ2" s="14" t="s">
        <v>54</v>
      </c>
      <c r="BR2" s="14" t="s">
        <v>55</v>
      </c>
      <c r="BS2" s="14" t="s">
        <v>56</v>
      </c>
      <c r="BT2" s="14" t="s">
        <v>57</v>
      </c>
      <c r="BU2" s="14" t="s">
        <v>34</v>
      </c>
      <c r="BV2" s="14" t="s">
        <v>36</v>
      </c>
      <c r="BW2" s="14" t="s">
        <v>37</v>
      </c>
      <c r="BX2" s="14" t="s">
        <v>58</v>
      </c>
      <c r="BY2" s="14" t="s">
        <v>59</v>
      </c>
    </row>
    <row r="3" spans="1:77" ht="20.25" customHeight="1" x14ac:dyDescent="0.15">
      <c r="A3" s="43" t="s">
        <v>60</v>
      </c>
      <c r="B3" s="17" t="s">
        <v>61</v>
      </c>
      <c r="C3" s="18" t="s">
        <v>62</v>
      </c>
      <c r="D3" s="18" t="s">
        <v>63</v>
      </c>
      <c r="E3" s="18" t="s">
        <v>64</v>
      </c>
      <c r="F3" s="19">
        <v>4</v>
      </c>
      <c r="G3" s="18" t="s">
        <v>65</v>
      </c>
      <c r="H3" s="19">
        <v>1</v>
      </c>
      <c r="I3" s="18" t="s">
        <v>66</v>
      </c>
      <c r="J3" s="19">
        <v>0</v>
      </c>
      <c r="K3" s="19">
        <v>1</v>
      </c>
      <c r="L3" s="19">
        <v>260</v>
      </c>
      <c r="M3" s="19">
        <v>4</v>
      </c>
      <c r="N3" s="19">
        <v>440</v>
      </c>
      <c r="O3" s="19">
        <v>4</v>
      </c>
      <c r="P3" s="19">
        <v>34</v>
      </c>
      <c r="Q3" s="19">
        <v>2</v>
      </c>
      <c r="R3" s="19">
        <v>11.5</v>
      </c>
      <c r="S3" s="19">
        <v>2</v>
      </c>
      <c r="T3" s="19">
        <v>150</v>
      </c>
      <c r="U3" s="19">
        <v>2</v>
      </c>
      <c r="V3" s="19">
        <v>5.9</v>
      </c>
      <c r="W3" s="19">
        <v>3</v>
      </c>
      <c r="X3" s="19">
        <v>1</v>
      </c>
      <c r="Y3" s="19">
        <v>9</v>
      </c>
      <c r="Z3" s="19">
        <v>10</v>
      </c>
      <c r="AA3" s="19">
        <v>10</v>
      </c>
      <c r="AB3" s="19">
        <v>10</v>
      </c>
      <c r="AC3" s="19">
        <v>0</v>
      </c>
      <c r="AD3" s="20">
        <v>5.1504629629629626E-3</v>
      </c>
      <c r="AE3" s="19">
        <v>2</v>
      </c>
      <c r="AF3" s="19">
        <v>4</v>
      </c>
      <c r="AG3" s="19">
        <v>1</v>
      </c>
      <c r="AH3" s="19">
        <v>4</v>
      </c>
      <c r="AI3" s="19">
        <v>4</v>
      </c>
      <c r="AJ3" s="18" t="s">
        <v>67</v>
      </c>
      <c r="AK3" s="19">
        <v>55</v>
      </c>
      <c r="AL3" s="19">
        <v>5</v>
      </c>
      <c r="AM3" s="19">
        <v>230</v>
      </c>
      <c r="AN3" s="19">
        <v>5</v>
      </c>
      <c r="AO3" s="19">
        <v>600</v>
      </c>
      <c r="AP3" s="19">
        <v>6</v>
      </c>
      <c r="AQ3" s="19">
        <v>35</v>
      </c>
      <c r="AR3" s="19">
        <v>5</v>
      </c>
      <c r="AS3" s="19">
        <v>17</v>
      </c>
      <c r="AT3" s="19">
        <v>6</v>
      </c>
      <c r="AU3" s="19">
        <v>170</v>
      </c>
      <c r="AV3" s="19">
        <v>3</v>
      </c>
      <c r="AW3" s="19">
        <v>6.6</v>
      </c>
      <c r="AX3" s="19">
        <v>4</v>
      </c>
      <c r="AY3" s="19">
        <v>10</v>
      </c>
      <c r="AZ3" s="19">
        <v>5</v>
      </c>
      <c r="BA3" s="19">
        <v>10</v>
      </c>
      <c r="BB3" s="19">
        <v>10</v>
      </c>
      <c r="BC3" s="19">
        <v>10</v>
      </c>
      <c r="BD3" s="19">
        <v>9</v>
      </c>
      <c r="BE3" s="20">
        <v>2.0023148148148148E-3</v>
      </c>
      <c r="BF3" s="19">
        <v>3</v>
      </c>
      <c r="BG3" s="19">
        <v>3</v>
      </c>
      <c r="BH3" s="19">
        <v>2</v>
      </c>
      <c r="BI3" s="19">
        <v>5</v>
      </c>
      <c r="BJ3" s="19">
        <v>4</v>
      </c>
      <c r="BK3" s="19">
        <v>5</v>
      </c>
      <c r="BL3" s="19">
        <v>3</v>
      </c>
      <c r="BM3" s="19">
        <v>4</v>
      </c>
      <c r="BN3" s="19">
        <v>1</v>
      </c>
      <c r="BO3" s="19">
        <v>2</v>
      </c>
      <c r="BP3" s="71" t="s">
        <v>68</v>
      </c>
      <c r="BQ3" s="18" t="s">
        <v>69</v>
      </c>
      <c r="BR3" s="19">
        <v>3</v>
      </c>
      <c r="BS3" s="19">
        <v>2</v>
      </c>
      <c r="BT3" s="19">
        <v>2</v>
      </c>
      <c r="BU3" s="19">
        <v>5</v>
      </c>
      <c r="BV3" s="19">
        <v>4</v>
      </c>
      <c r="BW3" s="19">
        <v>3</v>
      </c>
      <c r="BX3" s="71" t="s">
        <v>70</v>
      </c>
      <c r="BY3" s="71" t="s">
        <v>71</v>
      </c>
    </row>
    <row r="4" spans="1:77" ht="20" customHeight="1" x14ac:dyDescent="0.15">
      <c r="A4" s="44" t="s">
        <v>72</v>
      </c>
      <c r="B4" s="21" t="s">
        <v>61</v>
      </c>
      <c r="C4" s="22" t="s">
        <v>62</v>
      </c>
      <c r="D4" s="22" t="s">
        <v>63</v>
      </c>
      <c r="E4" s="22" t="s">
        <v>64</v>
      </c>
      <c r="F4" s="23">
        <v>5</v>
      </c>
      <c r="G4" s="22" t="s">
        <v>65</v>
      </c>
      <c r="H4" s="23">
        <v>1</v>
      </c>
      <c r="I4" s="22" t="s">
        <v>66</v>
      </c>
      <c r="J4" s="23">
        <v>0</v>
      </c>
      <c r="K4" s="23">
        <v>1</v>
      </c>
      <c r="L4" s="23">
        <v>260</v>
      </c>
      <c r="M4" s="23">
        <v>6</v>
      </c>
      <c r="N4" s="23">
        <v>450</v>
      </c>
      <c r="O4" s="23">
        <v>6</v>
      </c>
      <c r="P4" s="23">
        <v>33</v>
      </c>
      <c r="Q4" s="23">
        <v>6</v>
      </c>
      <c r="R4" s="23">
        <v>11.6</v>
      </c>
      <c r="S4" s="23">
        <v>4</v>
      </c>
      <c r="T4" s="23">
        <v>120</v>
      </c>
      <c r="U4" s="23">
        <v>3</v>
      </c>
      <c r="V4" s="23">
        <v>5.7</v>
      </c>
      <c r="W4" s="23">
        <v>5</v>
      </c>
      <c r="X4" s="23">
        <v>0</v>
      </c>
      <c r="Y4" s="23">
        <v>5</v>
      </c>
      <c r="Z4" s="23">
        <v>10</v>
      </c>
      <c r="AA4" s="23">
        <v>10</v>
      </c>
      <c r="AB4" s="23">
        <v>9</v>
      </c>
      <c r="AC4" s="23">
        <v>0</v>
      </c>
      <c r="AD4" s="24">
        <v>3.7615740740740739E-3</v>
      </c>
      <c r="AE4" s="23">
        <v>3</v>
      </c>
      <c r="AF4" s="23">
        <v>1</v>
      </c>
      <c r="AG4" s="23">
        <v>3</v>
      </c>
      <c r="AH4" s="23">
        <v>5</v>
      </c>
      <c r="AI4" s="23">
        <v>4</v>
      </c>
      <c r="AJ4" s="25"/>
      <c r="AK4" s="23">
        <v>54</v>
      </c>
      <c r="AL4" s="23">
        <v>6</v>
      </c>
      <c r="AM4" s="23">
        <v>240</v>
      </c>
      <c r="AN4" s="23">
        <v>5</v>
      </c>
      <c r="AO4" s="23">
        <v>600</v>
      </c>
      <c r="AP4" s="23">
        <v>5</v>
      </c>
      <c r="AQ4" s="23">
        <v>34</v>
      </c>
      <c r="AR4" s="23">
        <v>4</v>
      </c>
      <c r="AS4" s="23">
        <v>16</v>
      </c>
      <c r="AT4" s="23">
        <v>5</v>
      </c>
      <c r="AU4" s="23">
        <v>185</v>
      </c>
      <c r="AV4" s="23">
        <v>3</v>
      </c>
      <c r="AW4" s="23">
        <v>6.7</v>
      </c>
      <c r="AX4" s="23">
        <v>2</v>
      </c>
      <c r="AY4" s="23">
        <v>0</v>
      </c>
      <c r="AZ4" s="23">
        <v>0</v>
      </c>
      <c r="BA4" s="23">
        <v>10</v>
      </c>
      <c r="BB4" s="23">
        <v>0</v>
      </c>
      <c r="BC4" s="23">
        <v>2</v>
      </c>
      <c r="BD4" s="23">
        <v>4</v>
      </c>
      <c r="BE4" s="24">
        <v>5.7060185185185183E-3</v>
      </c>
      <c r="BF4" s="23">
        <v>3</v>
      </c>
      <c r="BG4" s="23">
        <v>2</v>
      </c>
      <c r="BH4" s="23">
        <v>1</v>
      </c>
      <c r="BI4" s="23">
        <v>4</v>
      </c>
      <c r="BJ4" s="23">
        <v>2</v>
      </c>
      <c r="BK4" s="23">
        <v>3</v>
      </c>
      <c r="BL4" s="23">
        <v>2</v>
      </c>
      <c r="BM4" s="23">
        <v>3</v>
      </c>
      <c r="BN4" s="23">
        <v>4</v>
      </c>
      <c r="BO4" s="23">
        <v>5</v>
      </c>
      <c r="BP4" s="70" t="s">
        <v>73</v>
      </c>
      <c r="BQ4" s="22" t="s">
        <v>69</v>
      </c>
      <c r="BR4" s="23">
        <v>5</v>
      </c>
      <c r="BS4" s="23">
        <v>3</v>
      </c>
      <c r="BT4" s="23">
        <v>3</v>
      </c>
      <c r="BU4" s="23">
        <v>3</v>
      </c>
      <c r="BV4" s="23">
        <v>5</v>
      </c>
      <c r="BW4" s="23">
        <v>5</v>
      </c>
      <c r="BX4" s="73" t="s">
        <v>74</v>
      </c>
      <c r="BY4" s="75" t="s">
        <v>75</v>
      </c>
    </row>
    <row r="5" spans="1:77" ht="37" customHeight="1" x14ac:dyDescent="0.15">
      <c r="A5" s="44" t="s">
        <v>76</v>
      </c>
      <c r="B5" s="21" t="s">
        <v>61</v>
      </c>
      <c r="C5" s="22" t="s">
        <v>62</v>
      </c>
      <c r="D5" s="22" t="s">
        <v>63</v>
      </c>
      <c r="E5" s="22" t="s">
        <v>64</v>
      </c>
      <c r="F5" s="23">
        <v>5</v>
      </c>
      <c r="G5" s="22" t="s">
        <v>65</v>
      </c>
      <c r="H5" s="23">
        <v>1</v>
      </c>
      <c r="I5" s="22" t="s">
        <v>66</v>
      </c>
      <c r="J5" s="23">
        <v>0</v>
      </c>
      <c r="K5" s="23">
        <v>6</v>
      </c>
      <c r="L5" s="23">
        <v>280</v>
      </c>
      <c r="M5" s="23">
        <v>3</v>
      </c>
      <c r="N5" s="23">
        <v>440</v>
      </c>
      <c r="O5" s="23">
        <v>4</v>
      </c>
      <c r="P5" s="23">
        <v>32.299999999999997</v>
      </c>
      <c r="Q5" s="23">
        <v>4</v>
      </c>
      <c r="R5" s="23">
        <v>10.9</v>
      </c>
      <c r="S5" s="23">
        <v>2</v>
      </c>
      <c r="T5" s="23">
        <v>150</v>
      </c>
      <c r="U5" s="23">
        <v>2</v>
      </c>
      <c r="V5" s="23">
        <v>5.8</v>
      </c>
      <c r="W5" s="23">
        <v>3</v>
      </c>
      <c r="X5" s="23">
        <v>2</v>
      </c>
      <c r="Y5" s="23">
        <v>8</v>
      </c>
      <c r="Z5" s="23">
        <v>10</v>
      </c>
      <c r="AA5" s="23">
        <v>9</v>
      </c>
      <c r="AB5" s="23">
        <v>9</v>
      </c>
      <c r="AC5" s="23">
        <v>0</v>
      </c>
      <c r="AD5" s="24">
        <v>6.2500000000000003E-3</v>
      </c>
      <c r="AE5" s="23">
        <v>2</v>
      </c>
      <c r="AF5" s="23">
        <v>5</v>
      </c>
      <c r="AG5" s="23">
        <v>2</v>
      </c>
      <c r="AH5" s="23">
        <v>2</v>
      </c>
      <c r="AI5" s="23">
        <v>2</v>
      </c>
      <c r="AJ5" s="25"/>
      <c r="AK5" s="23">
        <v>56</v>
      </c>
      <c r="AL5" s="23">
        <v>5</v>
      </c>
      <c r="AM5" s="23">
        <v>240</v>
      </c>
      <c r="AN5" s="23">
        <v>5</v>
      </c>
      <c r="AO5" s="23">
        <v>595</v>
      </c>
      <c r="AP5" s="23">
        <v>4</v>
      </c>
      <c r="AQ5" s="23">
        <v>36.5</v>
      </c>
      <c r="AR5" s="23">
        <v>3</v>
      </c>
      <c r="AS5" s="23">
        <v>16</v>
      </c>
      <c r="AT5" s="23">
        <v>5</v>
      </c>
      <c r="AU5" s="23">
        <v>190</v>
      </c>
      <c r="AV5" s="23">
        <v>3</v>
      </c>
      <c r="AW5" s="23">
        <v>6.7</v>
      </c>
      <c r="AX5" s="23">
        <v>5</v>
      </c>
      <c r="AY5" s="23">
        <v>0</v>
      </c>
      <c r="AZ5" s="23">
        <v>0</v>
      </c>
      <c r="BA5" s="23">
        <v>10</v>
      </c>
      <c r="BB5" s="23">
        <v>0</v>
      </c>
      <c r="BC5" s="23">
        <v>0</v>
      </c>
      <c r="BD5" s="23">
        <v>1</v>
      </c>
      <c r="BE5" s="24">
        <v>5.0578703703703714E-3</v>
      </c>
      <c r="BF5" s="23">
        <v>1</v>
      </c>
      <c r="BG5" s="23">
        <v>2</v>
      </c>
      <c r="BH5" s="23">
        <v>4</v>
      </c>
      <c r="BI5" s="23">
        <v>5</v>
      </c>
      <c r="BJ5" s="23">
        <v>2</v>
      </c>
      <c r="BK5" s="23">
        <v>3</v>
      </c>
      <c r="BL5" s="23">
        <v>3</v>
      </c>
      <c r="BM5" s="23">
        <v>4</v>
      </c>
      <c r="BN5" s="23">
        <v>4</v>
      </c>
      <c r="BO5" s="23">
        <v>5</v>
      </c>
      <c r="BP5" s="70" t="s">
        <v>77</v>
      </c>
      <c r="BQ5" s="22" t="s">
        <v>69</v>
      </c>
      <c r="BR5" s="23">
        <v>3</v>
      </c>
      <c r="BS5" s="23">
        <v>3</v>
      </c>
      <c r="BT5" s="23">
        <v>2</v>
      </c>
      <c r="BU5" s="23">
        <v>4</v>
      </c>
      <c r="BV5" s="23">
        <v>4</v>
      </c>
      <c r="BW5" s="23">
        <v>4</v>
      </c>
      <c r="BX5" s="70" t="s">
        <v>78</v>
      </c>
      <c r="BY5" s="76" t="s">
        <v>79</v>
      </c>
    </row>
    <row r="6" spans="1:77" ht="52" customHeight="1" x14ac:dyDescent="0.15">
      <c r="A6" s="44" t="s">
        <v>80</v>
      </c>
      <c r="B6" s="21" t="s">
        <v>61</v>
      </c>
      <c r="C6" s="22" t="s">
        <v>62</v>
      </c>
      <c r="D6" s="22" t="s">
        <v>63</v>
      </c>
      <c r="E6" s="22" t="s">
        <v>64</v>
      </c>
      <c r="F6" s="23">
        <v>5</v>
      </c>
      <c r="G6" s="22" t="s">
        <v>65</v>
      </c>
      <c r="H6" s="23">
        <v>1</v>
      </c>
      <c r="I6" s="22" t="s">
        <v>66</v>
      </c>
      <c r="J6" s="23">
        <v>0</v>
      </c>
      <c r="K6" s="23">
        <v>1</v>
      </c>
      <c r="L6" s="23">
        <v>290</v>
      </c>
      <c r="M6" s="23">
        <v>5</v>
      </c>
      <c r="N6" s="23">
        <v>450</v>
      </c>
      <c r="O6" s="23">
        <v>6</v>
      </c>
      <c r="P6" s="23">
        <v>33</v>
      </c>
      <c r="Q6" s="23">
        <v>4</v>
      </c>
      <c r="R6" s="23">
        <v>11.5</v>
      </c>
      <c r="S6" s="23">
        <v>5</v>
      </c>
      <c r="T6" s="23">
        <v>110</v>
      </c>
      <c r="U6" s="23">
        <v>3</v>
      </c>
      <c r="V6" s="23">
        <v>5.7</v>
      </c>
      <c r="W6" s="23">
        <v>4</v>
      </c>
      <c r="X6" s="23">
        <v>9</v>
      </c>
      <c r="Y6" s="23">
        <v>10</v>
      </c>
      <c r="Z6" s="23">
        <v>10</v>
      </c>
      <c r="AA6" s="23">
        <v>10</v>
      </c>
      <c r="AB6" s="23">
        <v>10</v>
      </c>
      <c r="AC6" s="23">
        <v>8</v>
      </c>
      <c r="AD6" s="24">
        <v>6.5277777777777782E-3</v>
      </c>
      <c r="AE6" s="23">
        <v>4</v>
      </c>
      <c r="AF6" s="23">
        <v>1</v>
      </c>
      <c r="AG6" s="23">
        <v>1</v>
      </c>
      <c r="AH6" s="23">
        <v>3</v>
      </c>
      <c r="AI6" s="23">
        <v>3</v>
      </c>
      <c r="AJ6" s="25"/>
      <c r="AK6" s="23">
        <v>57</v>
      </c>
      <c r="AL6" s="23">
        <v>5</v>
      </c>
      <c r="AM6" s="23">
        <v>230</v>
      </c>
      <c r="AN6" s="23">
        <v>5</v>
      </c>
      <c r="AO6" s="23">
        <v>600</v>
      </c>
      <c r="AP6" s="23">
        <v>5</v>
      </c>
      <c r="AQ6" s="23">
        <v>36</v>
      </c>
      <c r="AR6" s="23">
        <v>5</v>
      </c>
      <c r="AS6" s="23">
        <v>16.5</v>
      </c>
      <c r="AT6" s="23">
        <v>6</v>
      </c>
      <c r="AU6" s="23">
        <v>185</v>
      </c>
      <c r="AV6" s="23">
        <v>4</v>
      </c>
      <c r="AW6" s="23">
        <v>6.7</v>
      </c>
      <c r="AX6" s="23">
        <v>4</v>
      </c>
      <c r="AY6" s="23">
        <v>1</v>
      </c>
      <c r="AZ6" s="23">
        <v>6</v>
      </c>
      <c r="BA6" s="23">
        <v>10</v>
      </c>
      <c r="BB6" s="23">
        <v>5</v>
      </c>
      <c r="BC6" s="23">
        <v>7</v>
      </c>
      <c r="BD6" s="23">
        <v>8</v>
      </c>
      <c r="BE6" s="24">
        <v>8.726851851851852E-3</v>
      </c>
      <c r="BF6" s="23">
        <v>2</v>
      </c>
      <c r="BG6" s="23">
        <v>2</v>
      </c>
      <c r="BH6" s="23">
        <v>3</v>
      </c>
      <c r="BI6" s="23">
        <v>5</v>
      </c>
      <c r="BJ6" s="23">
        <v>4</v>
      </c>
      <c r="BK6" s="23">
        <v>3</v>
      </c>
      <c r="BL6" s="23">
        <v>3</v>
      </c>
      <c r="BM6" s="23">
        <v>3</v>
      </c>
      <c r="BN6" s="23">
        <v>4</v>
      </c>
      <c r="BO6" s="23">
        <v>5</v>
      </c>
      <c r="BP6" s="70" t="s">
        <v>81</v>
      </c>
      <c r="BQ6" s="22" t="s">
        <v>69</v>
      </c>
      <c r="BR6" s="23">
        <v>4</v>
      </c>
      <c r="BS6" s="23">
        <v>4</v>
      </c>
      <c r="BT6" s="23">
        <v>2</v>
      </c>
      <c r="BU6" s="23">
        <v>3</v>
      </c>
      <c r="BV6" s="23">
        <v>4</v>
      </c>
      <c r="BW6" s="23">
        <v>5</v>
      </c>
      <c r="BX6" s="74" t="s">
        <v>82</v>
      </c>
      <c r="BY6" s="25"/>
    </row>
    <row r="7" spans="1:77" ht="20" customHeight="1" x14ac:dyDescent="0.15">
      <c r="A7" s="44" t="s">
        <v>83</v>
      </c>
      <c r="B7" s="21" t="s">
        <v>61</v>
      </c>
      <c r="C7" s="22" t="s">
        <v>62</v>
      </c>
      <c r="D7" s="22" t="s">
        <v>63</v>
      </c>
      <c r="E7" s="22" t="s">
        <v>64</v>
      </c>
      <c r="F7" s="23">
        <v>5</v>
      </c>
      <c r="G7" s="22" t="s">
        <v>65</v>
      </c>
      <c r="H7" s="23">
        <v>1</v>
      </c>
      <c r="I7" s="22" t="s">
        <v>66</v>
      </c>
      <c r="J7" s="23">
        <v>115</v>
      </c>
      <c r="K7" s="23">
        <v>2</v>
      </c>
      <c r="L7" s="23">
        <v>290</v>
      </c>
      <c r="M7" s="23">
        <v>5</v>
      </c>
      <c r="N7" s="23">
        <v>450</v>
      </c>
      <c r="O7" s="23">
        <v>6</v>
      </c>
      <c r="P7" s="23">
        <v>31</v>
      </c>
      <c r="Q7" s="23">
        <v>5</v>
      </c>
      <c r="R7" s="23">
        <v>11.6</v>
      </c>
      <c r="S7" s="23">
        <v>4</v>
      </c>
      <c r="T7" s="23">
        <v>120</v>
      </c>
      <c r="U7" s="23">
        <v>4</v>
      </c>
      <c r="V7" s="23">
        <v>5.7</v>
      </c>
      <c r="W7" s="23">
        <v>5</v>
      </c>
      <c r="X7" s="23">
        <v>3</v>
      </c>
      <c r="Y7" s="23">
        <v>6</v>
      </c>
      <c r="Z7" s="23">
        <v>10</v>
      </c>
      <c r="AA7" s="23">
        <v>10</v>
      </c>
      <c r="AB7" s="23">
        <v>8</v>
      </c>
      <c r="AC7" s="23">
        <v>1</v>
      </c>
      <c r="AD7" s="24">
        <v>4.7222222222222223E-3</v>
      </c>
      <c r="AE7" s="23">
        <v>4</v>
      </c>
      <c r="AF7" s="23">
        <v>5</v>
      </c>
      <c r="AG7" s="23">
        <v>3</v>
      </c>
      <c r="AH7" s="23">
        <v>5</v>
      </c>
      <c r="AI7" s="23">
        <v>5</v>
      </c>
      <c r="AJ7" s="22" t="s">
        <v>84</v>
      </c>
      <c r="AK7" s="23">
        <v>54</v>
      </c>
      <c r="AL7" s="23">
        <v>6</v>
      </c>
      <c r="AM7" s="23">
        <v>240</v>
      </c>
      <c r="AN7" s="23">
        <v>5</v>
      </c>
      <c r="AO7" s="23">
        <v>600</v>
      </c>
      <c r="AP7" s="23">
        <v>6</v>
      </c>
      <c r="AQ7" s="23">
        <v>34</v>
      </c>
      <c r="AR7" s="23">
        <v>5</v>
      </c>
      <c r="AS7" s="23">
        <v>16</v>
      </c>
      <c r="AT7" s="23">
        <v>6</v>
      </c>
      <c r="AU7" s="23">
        <v>190</v>
      </c>
      <c r="AV7" s="23">
        <v>4</v>
      </c>
      <c r="AW7" s="23">
        <v>6.7</v>
      </c>
      <c r="AX7" s="23">
        <v>4</v>
      </c>
      <c r="AY7" s="23">
        <v>1</v>
      </c>
      <c r="AZ7" s="23">
        <v>0</v>
      </c>
      <c r="BA7" s="23">
        <v>10</v>
      </c>
      <c r="BB7" s="23">
        <v>0</v>
      </c>
      <c r="BC7" s="23">
        <v>8</v>
      </c>
      <c r="BD7" s="23">
        <v>9</v>
      </c>
      <c r="BE7" s="24">
        <v>3.8194444444444439E-3</v>
      </c>
      <c r="BF7" s="23">
        <v>4</v>
      </c>
      <c r="BG7" s="23">
        <v>5</v>
      </c>
      <c r="BH7" s="23">
        <v>4</v>
      </c>
      <c r="BI7" s="23">
        <v>5</v>
      </c>
      <c r="BJ7" s="23">
        <v>4</v>
      </c>
      <c r="BK7" s="23">
        <v>5</v>
      </c>
      <c r="BL7" s="23">
        <v>4</v>
      </c>
      <c r="BM7" s="23">
        <v>5</v>
      </c>
      <c r="BN7" s="23">
        <v>4</v>
      </c>
      <c r="BO7" s="23">
        <v>5</v>
      </c>
      <c r="BP7" s="70" t="s">
        <v>85</v>
      </c>
      <c r="BQ7" s="22" t="s">
        <v>69</v>
      </c>
      <c r="BR7" s="23">
        <v>4</v>
      </c>
      <c r="BS7" s="23">
        <v>4</v>
      </c>
      <c r="BT7" s="23">
        <v>3</v>
      </c>
      <c r="BU7" s="23">
        <v>2</v>
      </c>
      <c r="BV7" s="23">
        <v>6</v>
      </c>
      <c r="BW7" s="23">
        <v>5</v>
      </c>
      <c r="BX7" s="73" t="s">
        <v>86</v>
      </c>
      <c r="BY7" s="75" t="s">
        <v>87</v>
      </c>
    </row>
    <row r="8" spans="1:77" ht="20" customHeight="1" x14ac:dyDescent="0.15">
      <c r="A8" s="44" t="s">
        <v>88</v>
      </c>
      <c r="B8" s="21" t="s">
        <v>61</v>
      </c>
      <c r="C8" s="22" t="s">
        <v>62</v>
      </c>
      <c r="D8" s="22" t="s">
        <v>63</v>
      </c>
      <c r="E8" s="22" t="s">
        <v>89</v>
      </c>
      <c r="F8" s="23">
        <v>5</v>
      </c>
      <c r="G8" s="22" t="s">
        <v>65</v>
      </c>
      <c r="H8" s="23">
        <v>1</v>
      </c>
      <c r="I8" s="22" t="s">
        <v>66</v>
      </c>
      <c r="J8" s="23">
        <v>114</v>
      </c>
      <c r="K8" s="23">
        <v>6</v>
      </c>
      <c r="L8" s="23">
        <v>275</v>
      </c>
      <c r="M8" s="23">
        <v>5</v>
      </c>
      <c r="N8" s="23">
        <v>450</v>
      </c>
      <c r="O8" s="23">
        <v>5</v>
      </c>
      <c r="P8" s="23">
        <v>32</v>
      </c>
      <c r="Q8" s="23">
        <v>5</v>
      </c>
      <c r="R8" s="23">
        <v>11.7</v>
      </c>
      <c r="S8" s="23">
        <v>5</v>
      </c>
      <c r="T8" s="23">
        <v>110</v>
      </c>
      <c r="U8" s="23">
        <v>3</v>
      </c>
      <c r="V8" s="23">
        <v>5.7</v>
      </c>
      <c r="W8" s="23">
        <v>5</v>
      </c>
      <c r="X8" s="23">
        <v>8</v>
      </c>
      <c r="Y8" s="23">
        <v>10</v>
      </c>
      <c r="Z8" s="23">
        <v>10</v>
      </c>
      <c r="AA8" s="23">
        <v>10</v>
      </c>
      <c r="AB8" s="23">
        <v>10</v>
      </c>
      <c r="AC8" s="23">
        <v>0</v>
      </c>
      <c r="AD8" s="24">
        <v>2.7777777777777779E-3</v>
      </c>
      <c r="AE8" s="23">
        <v>3</v>
      </c>
      <c r="AF8" s="23">
        <v>4</v>
      </c>
      <c r="AG8" s="23">
        <v>1</v>
      </c>
      <c r="AH8" s="23">
        <v>4</v>
      </c>
      <c r="AI8" s="23">
        <v>4</v>
      </c>
      <c r="AJ8" s="22" t="s">
        <v>90</v>
      </c>
      <c r="AK8" s="23">
        <v>57</v>
      </c>
      <c r="AL8" s="23">
        <v>5</v>
      </c>
      <c r="AM8" s="23">
        <v>235</v>
      </c>
      <c r="AN8" s="23">
        <v>5</v>
      </c>
      <c r="AO8" s="23">
        <v>610</v>
      </c>
      <c r="AP8" s="23">
        <v>5</v>
      </c>
      <c r="AQ8" s="23">
        <v>37</v>
      </c>
      <c r="AR8" s="23">
        <v>5</v>
      </c>
      <c r="AS8" s="23">
        <v>16</v>
      </c>
      <c r="AT8" s="23">
        <v>5</v>
      </c>
      <c r="AU8" s="23">
        <v>190</v>
      </c>
      <c r="AV8" s="23">
        <v>3</v>
      </c>
      <c r="AW8" s="23">
        <v>6.7</v>
      </c>
      <c r="AX8" s="23">
        <v>5</v>
      </c>
      <c r="AY8" s="23">
        <v>7</v>
      </c>
      <c r="AZ8" s="23">
        <v>1</v>
      </c>
      <c r="BA8" s="23">
        <v>10</v>
      </c>
      <c r="BB8" s="23">
        <v>2</v>
      </c>
      <c r="BC8" s="23">
        <v>7</v>
      </c>
      <c r="BD8" s="23">
        <v>10</v>
      </c>
      <c r="BE8" s="24">
        <v>3.8194444444444439E-3</v>
      </c>
      <c r="BF8" s="23">
        <v>3</v>
      </c>
      <c r="BG8" s="23">
        <v>3</v>
      </c>
      <c r="BH8" s="23">
        <v>3</v>
      </c>
      <c r="BI8" s="23">
        <v>4</v>
      </c>
      <c r="BJ8" s="23">
        <v>1</v>
      </c>
      <c r="BK8" s="23">
        <v>1</v>
      </c>
      <c r="BL8" s="23">
        <v>1</v>
      </c>
      <c r="BM8" s="23">
        <v>2</v>
      </c>
      <c r="BN8" s="23">
        <v>4</v>
      </c>
      <c r="BO8" s="23">
        <v>5</v>
      </c>
      <c r="BP8" s="72" t="s">
        <v>91</v>
      </c>
      <c r="BQ8" s="22" t="s">
        <v>69</v>
      </c>
      <c r="BR8" s="23">
        <v>4</v>
      </c>
      <c r="BS8" s="23">
        <v>2</v>
      </c>
      <c r="BT8" s="23">
        <v>1</v>
      </c>
      <c r="BU8" s="23">
        <v>5</v>
      </c>
      <c r="BV8" s="23">
        <v>3</v>
      </c>
      <c r="BW8" s="23">
        <v>4</v>
      </c>
      <c r="BX8" s="73" t="s">
        <v>92</v>
      </c>
      <c r="BY8" s="75" t="s">
        <v>93</v>
      </c>
    </row>
    <row r="9" spans="1:77" ht="20" customHeight="1" x14ac:dyDescent="0.15">
      <c r="A9" s="44" t="s">
        <v>94</v>
      </c>
      <c r="B9" s="21" t="s">
        <v>61</v>
      </c>
      <c r="C9" s="22" t="s">
        <v>62</v>
      </c>
      <c r="D9" s="22" t="s">
        <v>63</v>
      </c>
      <c r="E9" s="22" t="s">
        <v>95</v>
      </c>
      <c r="F9" s="23">
        <v>2</v>
      </c>
      <c r="G9" s="22" t="s">
        <v>65</v>
      </c>
      <c r="H9" s="23">
        <v>1</v>
      </c>
      <c r="I9" s="22" t="s">
        <v>66</v>
      </c>
      <c r="J9" s="23">
        <v>110</v>
      </c>
      <c r="K9" s="23">
        <v>1</v>
      </c>
      <c r="L9" s="23">
        <v>280</v>
      </c>
      <c r="M9" s="23">
        <v>3</v>
      </c>
      <c r="N9" s="23">
        <v>450</v>
      </c>
      <c r="O9" s="23">
        <v>5</v>
      </c>
      <c r="P9" s="23">
        <v>33</v>
      </c>
      <c r="Q9" s="23">
        <v>4</v>
      </c>
      <c r="R9" s="23">
        <v>12</v>
      </c>
      <c r="S9" s="23">
        <v>3</v>
      </c>
      <c r="T9" s="23">
        <v>110</v>
      </c>
      <c r="U9" s="23">
        <v>2</v>
      </c>
      <c r="V9" s="23">
        <v>5.7</v>
      </c>
      <c r="W9" s="23">
        <v>4</v>
      </c>
      <c r="X9" s="23">
        <v>6</v>
      </c>
      <c r="Y9" s="23">
        <v>8</v>
      </c>
      <c r="Z9" s="23">
        <v>0</v>
      </c>
      <c r="AA9" s="23">
        <v>0</v>
      </c>
      <c r="AB9" s="23">
        <v>0</v>
      </c>
      <c r="AC9" s="23">
        <v>10</v>
      </c>
      <c r="AD9" s="24">
        <v>3.0671296296296302E-3</v>
      </c>
      <c r="AE9" s="23">
        <v>4</v>
      </c>
      <c r="AF9" s="23">
        <v>2</v>
      </c>
      <c r="AG9" s="23">
        <v>1</v>
      </c>
      <c r="AH9" s="23">
        <v>2</v>
      </c>
      <c r="AI9" s="23">
        <v>5</v>
      </c>
      <c r="AJ9" s="25"/>
      <c r="AK9" s="23">
        <v>54</v>
      </c>
      <c r="AL9" s="23">
        <v>2</v>
      </c>
      <c r="AM9" s="23">
        <v>235</v>
      </c>
      <c r="AN9" s="23">
        <v>3</v>
      </c>
      <c r="AO9" s="23">
        <v>599</v>
      </c>
      <c r="AP9" s="23">
        <v>4</v>
      </c>
      <c r="AQ9" s="23">
        <v>34</v>
      </c>
      <c r="AR9" s="23">
        <v>4</v>
      </c>
      <c r="AS9" s="23">
        <v>16</v>
      </c>
      <c r="AT9" s="23">
        <v>1</v>
      </c>
      <c r="AU9" s="23">
        <v>180</v>
      </c>
      <c r="AV9" s="23">
        <v>3</v>
      </c>
      <c r="AW9" s="23">
        <v>6.7</v>
      </c>
      <c r="AX9" s="23">
        <v>3</v>
      </c>
      <c r="AY9" s="23">
        <v>7</v>
      </c>
      <c r="AZ9" s="23">
        <v>0</v>
      </c>
      <c r="BA9" s="23">
        <v>0</v>
      </c>
      <c r="BB9" s="23">
        <v>3</v>
      </c>
      <c r="BC9" s="23">
        <v>0</v>
      </c>
      <c r="BD9" s="23">
        <v>0</v>
      </c>
      <c r="BE9" s="24">
        <v>5.6134259259259262E-3</v>
      </c>
      <c r="BF9" s="23">
        <v>2</v>
      </c>
      <c r="BG9" s="23">
        <v>3</v>
      </c>
      <c r="BH9" s="23">
        <v>3</v>
      </c>
      <c r="BI9" s="23">
        <v>4</v>
      </c>
      <c r="BJ9" s="23">
        <v>3</v>
      </c>
      <c r="BK9" s="23">
        <v>3</v>
      </c>
      <c r="BL9" s="23">
        <v>2</v>
      </c>
      <c r="BM9" s="23">
        <v>3</v>
      </c>
      <c r="BN9" s="23">
        <v>3</v>
      </c>
      <c r="BO9" s="23">
        <v>3</v>
      </c>
      <c r="BP9" s="72" t="s">
        <v>96</v>
      </c>
      <c r="BQ9" s="22" t="s">
        <v>69</v>
      </c>
      <c r="BR9" s="23">
        <v>3</v>
      </c>
      <c r="BS9" s="23">
        <v>3</v>
      </c>
      <c r="BT9" s="23">
        <v>1</v>
      </c>
      <c r="BU9" s="23">
        <v>3</v>
      </c>
      <c r="BV9" s="23">
        <v>3</v>
      </c>
      <c r="BW9" s="23">
        <v>5</v>
      </c>
      <c r="BX9" s="70" t="s">
        <v>97</v>
      </c>
      <c r="BY9" s="72" t="s">
        <v>98</v>
      </c>
    </row>
    <row r="10" spans="1:77" ht="20" customHeight="1" x14ac:dyDescent="0.15">
      <c r="A10" s="44" t="s">
        <v>99</v>
      </c>
      <c r="B10" s="21" t="s">
        <v>61</v>
      </c>
      <c r="C10" s="22" t="s">
        <v>62</v>
      </c>
      <c r="D10" s="22" t="s">
        <v>63</v>
      </c>
      <c r="E10" s="22" t="s">
        <v>100</v>
      </c>
      <c r="F10" s="23">
        <v>5</v>
      </c>
      <c r="G10" s="22" t="s">
        <v>65</v>
      </c>
      <c r="H10" s="23">
        <v>1</v>
      </c>
      <c r="I10" s="22" t="s">
        <v>66</v>
      </c>
      <c r="J10" s="23">
        <v>120</v>
      </c>
      <c r="K10" s="23">
        <v>2</v>
      </c>
      <c r="L10" s="23">
        <v>300</v>
      </c>
      <c r="M10" s="23">
        <v>6</v>
      </c>
      <c r="N10" s="23">
        <v>550</v>
      </c>
      <c r="O10" s="23">
        <v>4</v>
      </c>
      <c r="P10" s="23">
        <v>32</v>
      </c>
      <c r="Q10" s="23">
        <v>5</v>
      </c>
      <c r="R10" s="23">
        <v>12</v>
      </c>
      <c r="S10" s="23">
        <v>4</v>
      </c>
      <c r="T10" s="23">
        <v>110</v>
      </c>
      <c r="U10" s="23">
        <v>4</v>
      </c>
      <c r="V10" s="23">
        <v>5.7</v>
      </c>
      <c r="W10" s="23">
        <v>4</v>
      </c>
      <c r="X10" s="23">
        <v>9</v>
      </c>
      <c r="Y10" s="23">
        <v>10</v>
      </c>
      <c r="Z10" s="23">
        <v>10</v>
      </c>
      <c r="AA10" s="23">
        <v>10</v>
      </c>
      <c r="AB10" s="23">
        <v>10</v>
      </c>
      <c r="AC10" s="23">
        <v>0</v>
      </c>
      <c r="AD10" s="24">
        <v>5.1273148148148146E-3</v>
      </c>
      <c r="AE10" s="23">
        <v>3</v>
      </c>
      <c r="AF10" s="23">
        <v>4</v>
      </c>
      <c r="AG10" s="23">
        <v>2</v>
      </c>
      <c r="AH10" s="23">
        <v>3</v>
      </c>
      <c r="AI10" s="23">
        <v>4</v>
      </c>
      <c r="AJ10" s="25"/>
      <c r="AK10" s="23">
        <v>55</v>
      </c>
      <c r="AL10" s="23">
        <v>5</v>
      </c>
      <c r="AM10" s="23">
        <v>250</v>
      </c>
      <c r="AN10" s="23">
        <v>4</v>
      </c>
      <c r="AO10" s="23">
        <v>600</v>
      </c>
      <c r="AP10" s="23">
        <v>6</v>
      </c>
      <c r="AQ10" s="23">
        <v>32</v>
      </c>
      <c r="AR10" s="23">
        <v>4</v>
      </c>
      <c r="AS10" s="23">
        <v>16</v>
      </c>
      <c r="AT10" s="23">
        <v>5</v>
      </c>
      <c r="AU10" s="23">
        <v>180</v>
      </c>
      <c r="AV10" s="23">
        <v>3</v>
      </c>
      <c r="AW10" s="23">
        <v>6.6</v>
      </c>
      <c r="AX10" s="23">
        <v>4</v>
      </c>
      <c r="AY10" s="23">
        <v>10</v>
      </c>
      <c r="AZ10" s="23">
        <v>2</v>
      </c>
      <c r="BA10" s="23">
        <v>10</v>
      </c>
      <c r="BB10" s="23">
        <v>8</v>
      </c>
      <c r="BC10" s="23">
        <v>10</v>
      </c>
      <c r="BD10" s="23">
        <v>10</v>
      </c>
      <c r="BE10" s="24">
        <v>3.5416666666666661E-3</v>
      </c>
      <c r="BF10" s="23">
        <v>4</v>
      </c>
      <c r="BG10" s="23">
        <v>5</v>
      </c>
      <c r="BH10" s="23">
        <v>4</v>
      </c>
      <c r="BI10" s="23">
        <v>5</v>
      </c>
      <c r="BJ10" s="23">
        <v>3</v>
      </c>
      <c r="BK10" s="23">
        <v>4</v>
      </c>
      <c r="BL10" s="23">
        <v>3</v>
      </c>
      <c r="BM10" s="23">
        <v>4</v>
      </c>
      <c r="BN10" s="23">
        <v>3</v>
      </c>
      <c r="BO10" s="23">
        <v>3</v>
      </c>
      <c r="BP10" s="72" t="s">
        <v>101</v>
      </c>
      <c r="BQ10" s="22" t="s">
        <v>69</v>
      </c>
      <c r="BR10" s="23">
        <v>4</v>
      </c>
      <c r="BS10" s="23">
        <v>3</v>
      </c>
      <c r="BT10" s="23">
        <v>4</v>
      </c>
      <c r="BU10" s="23">
        <v>3</v>
      </c>
      <c r="BV10" s="23">
        <v>2</v>
      </c>
      <c r="BW10" s="23">
        <v>5</v>
      </c>
      <c r="BX10" s="70" t="s">
        <v>102</v>
      </c>
      <c r="BY10" s="72" t="s">
        <v>103</v>
      </c>
    </row>
    <row r="11" spans="1:77" ht="20" customHeight="1" x14ac:dyDescent="0.15">
      <c r="A11" s="44" t="s">
        <v>104</v>
      </c>
      <c r="B11" s="21" t="s">
        <v>61</v>
      </c>
      <c r="C11" s="22" t="s">
        <v>62</v>
      </c>
      <c r="D11" s="22" t="s">
        <v>63</v>
      </c>
      <c r="E11" s="22" t="s">
        <v>105</v>
      </c>
      <c r="F11" s="23">
        <v>5</v>
      </c>
      <c r="G11" s="22" t="s">
        <v>65</v>
      </c>
      <c r="H11" s="23">
        <v>1</v>
      </c>
      <c r="I11" s="22" t="s">
        <v>66</v>
      </c>
      <c r="J11" s="23">
        <v>114</v>
      </c>
      <c r="K11" s="23">
        <v>6</v>
      </c>
      <c r="L11" s="23">
        <v>293</v>
      </c>
      <c r="M11" s="23">
        <v>6</v>
      </c>
      <c r="N11" s="23">
        <v>450</v>
      </c>
      <c r="O11" s="23">
        <v>6</v>
      </c>
      <c r="P11" s="23">
        <v>30</v>
      </c>
      <c r="Q11" s="23">
        <v>6</v>
      </c>
      <c r="R11" s="23">
        <v>11</v>
      </c>
      <c r="S11" s="23">
        <v>5</v>
      </c>
      <c r="T11" s="23">
        <v>120</v>
      </c>
      <c r="U11" s="23">
        <v>3</v>
      </c>
      <c r="V11" s="23">
        <v>5</v>
      </c>
      <c r="W11" s="23">
        <v>5</v>
      </c>
      <c r="X11" s="23">
        <v>3</v>
      </c>
      <c r="Y11" s="23">
        <v>2</v>
      </c>
      <c r="Z11" s="23">
        <v>8</v>
      </c>
      <c r="AA11" s="23">
        <v>6</v>
      </c>
      <c r="AB11" s="23">
        <v>2</v>
      </c>
      <c r="AC11" s="23">
        <v>0</v>
      </c>
      <c r="AD11" s="24">
        <v>3.668981481481481E-3</v>
      </c>
      <c r="AE11" s="23">
        <v>4</v>
      </c>
      <c r="AF11" s="23">
        <v>4</v>
      </c>
      <c r="AG11" s="23">
        <v>5</v>
      </c>
      <c r="AH11" s="23">
        <v>1</v>
      </c>
      <c r="AI11" s="23">
        <v>3</v>
      </c>
      <c r="AJ11" s="25"/>
      <c r="AK11" s="23">
        <v>53.3</v>
      </c>
      <c r="AL11" s="23">
        <v>6</v>
      </c>
      <c r="AM11" s="23">
        <v>240.3</v>
      </c>
      <c r="AN11" s="23">
        <v>6</v>
      </c>
      <c r="AO11" s="23">
        <v>600</v>
      </c>
      <c r="AP11" s="23">
        <v>6</v>
      </c>
      <c r="AQ11" s="23">
        <v>33</v>
      </c>
      <c r="AR11" s="23">
        <v>6</v>
      </c>
      <c r="AS11" s="23">
        <v>35</v>
      </c>
      <c r="AT11" s="23">
        <v>1</v>
      </c>
      <c r="AU11" s="23">
        <v>192</v>
      </c>
      <c r="AV11" s="23">
        <v>4</v>
      </c>
      <c r="AW11" s="23">
        <v>6.6</v>
      </c>
      <c r="AX11" s="23">
        <v>3</v>
      </c>
      <c r="AY11" s="23">
        <v>5</v>
      </c>
      <c r="AZ11" s="23">
        <v>2</v>
      </c>
      <c r="BA11" s="23">
        <v>8</v>
      </c>
      <c r="BB11" s="23">
        <v>3</v>
      </c>
      <c r="BC11" s="23">
        <v>5</v>
      </c>
      <c r="BD11" s="23">
        <v>4</v>
      </c>
      <c r="BE11" s="24">
        <v>8.9930555555555562E-3</v>
      </c>
      <c r="BF11" s="23">
        <v>4</v>
      </c>
      <c r="BG11" s="23">
        <v>5</v>
      </c>
      <c r="BH11" s="23">
        <v>4</v>
      </c>
      <c r="BI11" s="23">
        <v>5</v>
      </c>
      <c r="BJ11" s="23">
        <v>4</v>
      </c>
      <c r="BK11" s="23">
        <v>5</v>
      </c>
      <c r="BL11" s="23">
        <v>4</v>
      </c>
      <c r="BM11" s="23">
        <v>5</v>
      </c>
      <c r="BN11" s="23">
        <v>4</v>
      </c>
      <c r="BO11" s="23">
        <v>5</v>
      </c>
      <c r="BP11" s="22" t="s">
        <v>106</v>
      </c>
      <c r="BQ11" s="22" t="s">
        <v>69</v>
      </c>
      <c r="BR11" s="23">
        <v>3</v>
      </c>
      <c r="BS11" s="23">
        <v>4</v>
      </c>
      <c r="BT11" s="23">
        <v>5</v>
      </c>
      <c r="BU11" s="23">
        <v>1</v>
      </c>
      <c r="BV11" s="23">
        <v>2</v>
      </c>
      <c r="BW11" s="23">
        <v>4</v>
      </c>
      <c r="BX11" s="70" t="s">
        <v>107</v>
      </c>
      <c r="BY11" s="72" t="s">
        <v>108</v>
      </c>
    </row>
    <row r="12" spans="1:77" ht="20" customHeight="1" x14ac:dyDescent="0.15">
      <c r="A12" s="45" t="s">
        <v>109</v>
      </c>
      <c r="B12" s="26"/>
      <c r="C12" s="27"/>
      <c r="D12" s="27"/>
      <c r="E12" s="27"/>
      <c r="F12" s="27"/>
      <c r="G12" s="27"/>
      <c r="H12" s="27"/>
      <c r="I12" s="27"/>
      <c r="J12" s="28" t="s">
        <v>110</v>
      </c>
      <c r="K12" s="27">
        <f t="shared" ref="K12:AC12" si="0">AVERAGE(K3:K11)</f>
        <v>2.8888888888888888</v>
      </c>
      <c r="L12" s="27">
        <f t="shared" si="0"/>
        <v>280.88888888888891</v>
      </c>
      <c r="M12" s="27">
        <f t="shared" si="0"/>
        <v>4.7777777777777777</v>
      </c>
      <c r="N12" s="27">
        <f t="shared" si="0"/>
        <v>458.88888888888891</v>
      </c>
      <c r="O12" s="27">
        <f t="shared" si="0"/>
        <v>5.1111111111111107</v>
      </c>
      <c r="P12" s="27">
        <f t="shared" si="0"/>
        <v>32.25555555555556</v>
      </c>
      <c r="Q12" s="27">
        <f t="shared" si="0"/>
        <v>4.5555555555555554</v>
      </c>
      <c r="R12" s="27">
        <f t="shared" si="0"/>
        <v>11.533333333333333</v>
      </c>
      <c r="S12" s="27">
        <f t="shared" si="0"/>
        <v>3.7777777777777777</v>
      </c>
      <c r="T12" s="27">
        <f t="shared" si="0"/>
        <v>122.22222222222223</v>
      </c>
      <c r="U12" s="27">
        <f t="shared" si="0"/>
        <v>2.8888888888888888</v>
      </c>
      <c r="V12" s="27">
        <f t="shared" si="0"/>
        <v>5.6555555555555559</v>
      </c>
      <c r="W12" s="27">
        <f t="shared" si="0"/>
        <v>4.2222222222222223</v>
      </c>
      <c r="X12" s="27">
        <f t="shared" si="0"/>
        <v>4.5555555555555554</v>
      </c>
      <c r="Y12" s="27">
        <f t="shared" si="0"/>
        <v>7.5555555555555554</v>
      </c>
      <c r="Z12" s="27">
        <f t="shared" si="0"/>
        <v>8.6666666666666661</v>
      </c>
      <c r="AA12" s="27">
        <f t="shared" si="0"/>
        <v>8.3333333333333339</v>
      </c>
      <c r="AB12" s="27">
        <f t="shared" si="0"/>
        <v>7.5555555555555554</v>
      </c>
      <c r="AC12" s="27">
        <f t="shared" si="0"/>
        <v>2.1111111111111112</v>
      </c>
      <c r="AD12" s="29">
        <v>4.5614711934156378E-3</v>
      </c>
      <c r="AE12" s="27">
        <f t="shared" ref="AE12:BD12" si="1">AVERAGE(AE3:AE11)</f>
        <v>3.2222222222222223</v>
      </c>
      <c r="AF12" s="27">
        <f t="shared" si="1"/>
        <v>3.3333333333333335</v>
      </c>
      <c r="AG12" s="27">
        <f t="shared" si="1"/>
        <v>2.1111111111111112</v>
      </c>
      <c r="AH12" s="27">
        <f t="shared" si="1"/>
        <v>3.2222222222222223</v>
      </c>
      <c r="AI12" s="27">
        <f t="shared" si="1"/>
        <v>3.7777777777777777</v>
      </c>
      <c r="AJ12" s="27" t="e">
        <f t="shared" si="1"/>
        <v>#DIV/0!</v>
      </c>
      <c r="AK12" s="27">
        <f t="shared" si="1"/>
        <v>55.033333333333331</v>
      </c>
      <c r="AL12" s="27">
        <f t="shared" si="1"/>
        <v>5</v>
      </c>
      <c r="AM12" s="27">
        <f t="shared" si="1"/>
        <v>237.81111111111113</v>
      </c>
      <c r="AN12" s="27">
        <f t="shared" si="1"/>
        <v>4.7777777777777777</v>
      </c>
      <c r="AO12" s="27">
        <f t="shared" si="1"/>
        <v>600.44444444444446</v>
      </c>
      <c r="AP12" s="27">
        <f t="shared" si="1"/>
        <v>5.2222222222222223</v>
      </c>
      <c r="AQ12" s="27">
        <f t="shared" si="1"/>
        <v>34.611111111111114</v>
      </c>
      <c r="AR12" s="27">
        <f t="shared" si="1"/>
        <v>4.5555555555555554</v>
      </c>
      <c r="AS12" s="27">
        <f t="shared" si="1"/>
        <v>18.277777777777779</v>
      </c>
      <c r="AT12" s="27">
        <f t="shared" si="1"/>
        <v>4.4444444444444446</v>
      </c>
      <c r="AU12" s="27">
        <f t="shared" si="1"/>
        <v>184.66666666666666</v>
      </c>
      <c r="AV12" s="27">
        <f t="shared" si="1"/>
        <v>3.3333333333333335</v>
      </c>
      <c r="AW12" s="27">
        <f t="shared" si="1"/>
        <v>6.6666666666666679</v>
      </c>
      <c r="AX12" s="27">
        <f t="shared" si="1"/>
        <v>3.7777777777777777</v>
      </c>
      <c r="AY12" s="27">
        <f t="shared" si="1"/>
        <v>4.5555555555555554</v>
      </c>
      <c r="AZ12" s="27">
        <f t="shared" si="1"/>
        <v>1.7777777777777777</v>
      </c>
      <c r="BA12" s="27">
        <f t="shared" si="1"/>
        <v>8.6666666666666661</v>
      </c>
      <c r="BB12" s="27">
        <f t="shared" si="1"/>
        <v>3.4444444444444446</v>
      </c>
      <c r="BC12" s="27">
        <f t="shared" si="1"/>
        <v>5.4444444444444446</v>
      </c>
      <c r="BD12" s="27">
        <f t="shared" si="1"/>
        <v>6.1111111111111107</v>
      </c>
      <c r="BE12" s="29">
        <v>5.2533436213991784E-3</v>
      </c>
      <c r="BF12" s="27">
        <f t="shared" ref="BF12:BO12" si="2">AVERAGE(BF3:BF11)</f>
        <v>2.8888888888888888</v>
      </c>
      <c r="BG12" s="27">
        <f t="shared" si="2"/>
        <v>3.3333333333333335</v>
      </c>
      <c r="BH12" s="27">
        <f t="shared" si="2"/>
        <v>3.1111111111111112</v>
      </c>
      <c r="BI12" s="27">
        <f t="shared" si="2"/>
        <v>4.666666666666667</v>
      </c>
      <c r="BJ12" s="27">
        <f t="shared" si="2"/>
        <v>3</v>
      </c>
      <c r="BK12" s="27">
        <f t="shared" si="2"/>
        <v>3.5555555555555554</v>
      </c>
      <c r="BL12" s="27">
        <f t="shared" si="2"/>
        <v>2.7777777777777777</v>
      </c>
      <c r="BM12" s="27">
        <f t="shared" si="2"/>
        <v>3.6666666666666665</v>
      </c>
      <c r="BN12" s="27">
        <f t="shared" si="2"/>
        <v>3.4444444444444446</v>
      </c>
      <c r="BO12" s="27">
        <f t="shared" si="2"/>
        <v>4.2222222222222223</v>
      </c>
      <c r="BP12" s="27"/>
      <c r="BQ12" s="27"/>
      <c r="BR12" s="30">
        <f t="shared" ref="BR12:BW12" si="3">AVERAGE(BR3:BR11)</f>
        <v>3.6666666666666665</v>
      </c>
      <c r="BS12" s="30">
        <f t="shared" si="3"/>
        <v>3.1111111111111112</v>
      </c>
      <c r="BT12" s="30">
        <f t="shared" si="3"/>
        <v>2.5555555555555554</v>
      </c>
      <c r="BU12" s="30">
        <f t="shared" si="3"/>
        <v>3.2222222222222223</v>
      </c>
      <c r="BV12" s="30">
        <f t="shared" si="3"/>
        <v>3.6666666666666665</v>
      </c>
      <c r="BW12" s="30">
        <f t="shared" si="3"/>
        <v>4.4444444444444446</v>
      </c>
      <c r="BX12" s="27"/>
      <c r="BY12" s="27"/>
    </row>
    <row r="13" spans="1:77" ht="20" customHeight="1" x14ac:dyDescent="0.15">
      <c r="A13" s="46" t="s">
        <v>111</v>
      </c>
      <c r="B13" s="31"/>
      <c r="C13" s="32"/>
      <c r="D13" s="32"/>
      <c r="E13" s="32"/>
      <c r="F13" s="32"/>
      <c r="G13" s="32"/>
      <c r="H13" s="32"/>
      <c r="I13" s="32"/>
      <c r="J13" s="32"/>
      <c r="K13" s="33">
        <f t="shared" ref="K13:AC13" si="4">MAX(K3:K11)</f>
        <v>6</v>
      </c>
      <c r="L13" s="33">
        <f t="shared" si="4"/>
        <v>300</v>
      </c>
      <c r="M13" s="33">
        <f t="shared" si="4"/>
        <v>6</v>
      </c>
      <c r="N13" s="33">
        <f t="shared" si="4"/>
        <v>550</v>
      </c>
      <c r="O13" s="33">
        <f t="shared" si="4"/>
        <v>6</v>
      </c>
      <c r="P13" s="33">
        <f t="shared" si="4"/>
        <v>34</v>
      </c>
      <c r="Q13" s="33">
        <f t="shared" si="4"/>
        <v>6</v>
      </c>
      <c r="R13" s="33">
        <f t="shared" si="4"/>
        <v>12</v>
      </c>
      <c r="S13" s="33">
        <f t="shared" si="4"/>
        <v>5</v>
      </c>
      <c r="T13" s="33">
        <f t="shared" si="4"/>
        <v>150</v>
      </c>
      <c r="U13" s="33">
        <f t="shared" si="4"/>
        <v>4</v>
      </c>
      <c r="V13" s="33">
        <f t="shared" si="4"/>
        <v>5.9</v>
      </c>
      <c r="W13" s="33">
        <f t="shared" si="4"/>
        <v>5</v>
      </c>
      <c r="X13" s="33">
        <f t="shared" si="4"/>
        <v>9</v>
      </c>
      <c r="Y13" s="33">
        <f t="shared" si="4"/>
        <v>10</v>
      </c>
      <c r="Z13" s="33">
        <f t="shared" si="4"/>
        <v>10</v>
      </c>
      <c r="AA13" s="33">
        <f t="shared" si="4"/>
        <v>10</v>
      </c>
      <c r="AB13" s="33">
        <f t="shared" si="4"/>
        <v>10</v>
      </c>
      <c r="AC13" s="33">
        <f t="shared" si="4"/>
        <v>10</v>
      </c>
      <c r="AD13" s="34">
        <v>6.5277777777777782E-3</v>
      </c>
      <c r="AE13" s="33">
        <f t="shared" ref="AE13:BD13" si="5">MAX(AE3:AE11)</f>
        <v>4</v>
      </c>
      <c r="AF13" s="33">
        <f t="shared" si="5"/>
        <v>5</v>
      </c>
      <c r="AG13" s="33">
        <f t="shared" si="5"/>
        <v>5</v>
      </c>
      <c r="AH13" s="33">
        <f t="shared" si="5"/>
        <v>5</v>
      </c>
      <c r="AI13" s="33">
        <f t="shared" si="5"/>
        <v>5</v>
      </c>
      <c r="AJ13" s="33">
        <f t="shared" si="5"/>
        <v>0</v>
      </c>
      <c r="AK13" s="33">
        <f t="shared" si="5"/>
        <v>57</v>
      </c>
      <c r="AL13" s="33">
        <f t="shared" si="5"/>
        <v>6</v>
      </c>
      <c r="AM13" s="33">
        <f t="shared" si="5"/>
        <v>250</v>
      </c>
      <c r="AN13" s="33">
        <f t="shared" si="5"/>
        <v>6</v>
      </c>
      <c r="AO13" s="33">
        <f t="shared" si="5"/>
        <v>610</v>
      </c>
      <c r="AP13" s="33">
        <f t="shared" si="5"/>
        <v>6</v>
      </c>
      <c r="AQ13" s="33">
        <f t="shared" si="5"/>
        <v>37</v>
      </c>
      <c r="AR13" s="33">
        <f t="shared" si="5"/>
        <v>6</v>
      </c>
      <c r="AS13" s="33">
        <f t="shared" si="5"/>
        <v>35</v>
      </c>
      <c r="AT13" s="33">
        <f t="shared" si="5"/>
        <v>6</v>
      </c>
      <c r="AU13" s="33">
        <f t="shared" si="5"/>
        <v>192</v>
      </c>
      <c r="AV13" s="33">
        <f t="shared" si="5"/>
        <v>4</v>
      </c>
      <c r="AW13" s="33">
        <f t="shared" si="5"/>
        <v>6.7</v>
      </c>
      <c r="AX13" s="33">
        <f t="shared" si="5"/>
        <v>5</v>
      </c>
      <c r="AY13" s="33">
        <f t="shared" si="5"/>
        <v>10</v>
      </c>
      <c r="AZ13" s="33">
        <f t="shared" si="5"/>
        <v>6</v>
      </c>
      <c r="BA13" s="33">
        <f t="shared" si="5"/>
        <v>10</v>
      </c>
      <c r="BB13" s="33">
        <f t="shared" si="5"/>
        <v>10</v>
      </c>
      <c r="BC13" s="33">
        <f t="shared" si="5"/>
        <v>10</v>
      </c>
      <c r="BD13" s="33">
        <f t="shared" si="5"/>
        <v>10</v>
      </c>
      <c r="BE13" s="34">
        <v>8.9930555555555562E-3</v>
      </c>
      <c r="BF13" s="33">
        <f t="shared" ref="BF13:BW13" si="6">MAX(BF3:BF11)</f>
        <v>4</v>
      </c>
      <c r="BG13" s="33">
        <f t="shared" si="6"/>
        <v>5</v>
      </c>
      <c r="BH13" s="33">
        <f t="shared" si="6"/>
        <v>4</v>
      </c>
      <c r="BI13" s="33">
        <f t="shared" si="6"/>
        <v>5</v>
      </c>
      <c r="BJ13" s="33">
        <f t="shared" si="6"/>
        <v>4</v>
      </c>
      <c r="BK13" s="33">
        <f t="shared" si="6"/>
        <v>5</v>
      </c>
      <c r="BL13" s="33">
        <f t="shared" si="6"/>
        <v>4</v>
      </c>
      <c r="BM13" s="33">
        <f t="shared" si="6"/>
        <v>5</v>
      </c>
      <c r="BN13" s="33">
        <f t="shared" si="6"/>
        <v>4</v>
      </c>
      <c r="BO13" s="33">
        <f t="shared" si="6"/>
        <v>5</v>
      </c>
      <c r="BP13" s="33">
        <f t="shared" si="6"/>
        <v>0</v>
      </c>
      <c r="BQ13" s="33">
        <f t="shared" si="6"/>
        <v>0</v>
      </c>
      <c r="BR13" s="33">
        <f t="shared" si="6"/>
        <v>5</v>
      </c>
      <c r="BS13" s="33">
        <f t="shared" si="6"/>
        <v>4</v>
      </c>
      <c r="BT13" s="33">
        <f t="shared" si="6"/>
        <v>5</v>
      </c>
      <c r="BU13" s="33">
        <f t="shared" si="6"/>
        <v>5</v>
      </c>
      <c r="BV13" s="33">
        <f t="shared" si="6"/>
        <v>6</v>
      </c>
      <c r="BW13" s="33">
        <f t="shared" si="6"/>
        <v>5</v>
      </c>
      <c r="BX13" s="32"/>
      <c r="BY13" s="32"/>
    </row>
    <row r="14" spans="1:77" ht="20" customHeight="1" x14ac:dyDescent="0.15">
      <c r="A14" s="47" t="s">
        <v>112</v>
      </c>
      <c r="B14" s="35"/>
      <c r="C14" s="36"/>
      <c r="D14" s="36"/>
      <c r="E14" s="36"/>
      <c r="F14" s="36"/>
      <c r="G14" s="36"/>
      <c r="H14" s="36"/>
      <c r="I14" s="36"/>
      <c r="J14" s="36"/>
      <c r="K14" s="37">
        <f t="shared" ref="K14:AC14" si="7">MIN(K3:K11)</f>
        <v>1</v>
      </c>
      <c r="L14" s="37">
        <f t="shared" si="7"/>
        <v>260</v>
      </c>
      <c r="M14" s="37">
        <f t="shared" si="7"/>
        <v>3</v>
      </c>
      <c r="N14" s="37">
        <f t="shared" si="7"/>
        <v>440</v>
      </c>
      <c r="O14" s="37">
        <f t="shared" si="7"/>
        <v>4</v>
      </c>
      <c r="P14" s="37">
        <f t="shared" si="7"/>
        <v>30</v>
      </c>
      <c r="Q14" s="37">
        <f t="shared" si="7"/>
        <v>2</v>
      </c>
      <c r="R14" s="37">
        <f t="shared" si="7"/>
        <v>10.9</v>
      </c>
      <c r="S14" s="37">
        <f t="shared" si="7"/>
        <v>2</v>
      </c>
      <c r="T14" s="37">
        <f t="shared" si="7"/>
        <v>110</v>
      </c>
      <c r="U14" s="37">
        <f t="shared" si="7"/>
        <v>2</v>
      </c>
      <c r="V14" s="37">
        <f t="shared" si="7"/>
        <v>5</v>
      </c>
      <c r="W14" s="37">
        <f t="shared" si="7"/>
        <v>3</v>
      </c>
      <c r="X14" s="37">
        <f t="shared" si="7"/>
        <v>0</v>
      </c>
      <c r="Y14" s="37">
        <f t="shared" si="7"/>
        <v>2</v>
      </c>
      <c r="Z14" s="37">
        <f t="shared" si="7"/>
        <v>0</v>
      </c>
      <c r="AA14" s="37">
        <f t="shared" si="7"/>
        <v>0</v>
      </c>
      <c r="AB14" s="37">
        <f t="shared" si="7"/>
        <v>0</v>
      </c>
      <c r="AC14" s="37">
        <f t="shared" si="7"/>
        <v>0</v>
      </c>
      <c r="AD14" s="38">
        <v>2.7777777777777779E-3</v>
      </c>
      <c r="AE14" s="37">
        <f t="shared" ref="AE14:BD14" si="8">MIN(AE3:AE11)</f>
        <v>2</v>
      </c>
      <c r="AF14" s="37">
        <f t="shared" si="8"/>
        <v>1</v>
      </c>
      <c r="AG14" s="37">
        <f t="shared" si="8"/>
        <v>1</v>
      </c>
      <c r="AH14" s="37">
        <f t="shared" si="8"/>
        <v>1</v>
      </c>
      <c r="AI14" s="37">
        <f t="shared" si="8"/>
        <v>2</v>
      </c>
      <c r="AJ14" s="37">
        <f t="shared" si="8"/>
        <v>0</v>
      </c>
      <c r="AK14" s="37">
        <f t="shared" si="8"/>
        <v>53.3</v>
      </c>
      <c r="AL14" s="37">
        <f t="shared" si="8"/>
        <v>2</v>
      </c>
      <c r="AM14" s="37">
        <f t="shared" si="8"/>
        <v>230</v>
      </c>
      <c r="AN14" s="37">
        <f t="shared" si="8"/>
        <v>3</v>
      </c>
      <c r="AO14" s="37">
        <f t="shared" si="8"/>
        <v>595</v>
      </c>
      <c r="AP14" s="37">
        <f t="shared" si="8"/>
        <v>4</v>
      </c>
      <c r="AQ14" s="37">
        <f t="shared" si="8"/>
        <v>32</v>
      </c>
      <c r="AR14" s="37">
        <f t="shared" si="8"/>
        <v>3</v>
      </c>
      <c r="AS14" s="37">
        <f t="shared" si="8"/>
        <v>16</v>
      </c>
      <c r="AT14" s="37">
        <f t="shared" si="8"/>
        <v>1</v>
      </c>
      <c r="AU14" s="37">
        <f t="shared" si="8"/>
        <v>170</v>
      </c>
      <c r="AV14" s="37">
        <f t="shared" si="8"/>
        <v>3</v>
      </c>
      <c r="AW14" s="37">
        <f t="shared" si="8"/>
        <v>6.6</v>
      </c>
      <c r="AX14" s="37">
        <f t="shared" si="8"/>
        <v>2</v>
      </c>
      <c r="AY14" s="37">
        <f t="shared" si="8"/>
        <v>0</v>
      </c>
      <c r="AZ14" s="37">
        <f t="shared" si="8"/>
        <v>0</v>
      </c>
      <c r="BA14" s="37">
        <f t="shared" si="8"/>
        <v>0</v>
      </c>
      <c r="BB14" s="37">
        <f t="shared" si="8"/>
        <v>0</v>
      </c>
      <c r="BC14" s="37">
        <f t="shared" si="8"/>
        <v>0</v>
      </c>
      <c r="BD14" s="37">
        <f t="shared" si="8"/>
        <v>0</v>
      </c>
      <c r="BE14" s="38">
        <v>2.0023148148148148E-3</v>
      </c>
      <c r="BF14" s="37">
        <f t="shared" ref="BF14:BW14" si="9">MIN(BF3:BF11)</f>
        <v>1</v>
      </c>
      <c r="BG14" s="37">
        <f t="shared" si="9"/>
        <v>2</v>
      </c>
      <c r="BH14" s="37">
        <f t="shared" si="9"/>
        <v>1</v>
      </c>
      <c r="BI14" s="37">
        <f t="shared" si="9"/>
        <v>4</v>
      </c>
      <c r="BJ14" s="37">
        <f t="shared" si="9"/>
        <v>1</v>
      </c>
      <c r="BK14" s="37">
        <f t="shared" si="9"/>
        <v>1</v>
      </c>
      <c r="BL14" s="37">
        <f t="shared" si="9"/>
        <v>1</v>
      </c>
      <c r="BM14" s="37">
        <f t="shared" si="9"/>
        <v>2</v>
      </c>
      <c r="BN14" s="37">
        <f t="shared" si="9"/>
        <v>1</v>
      </c>
      <c r="BO14" s="37">
        <f t="shared" si="9"/>
        <v>2</v>
      </c>
      <c r="BP14" s="37">
        <f t="shared" si="9"/>
        <v>0</v>
      </c>
      <c r="BQ14" s="37">
        <f t="shared" si="9"/>
        <v>0</v>
      </c>
      <c r="BR14" s="37">
        <f t="shared" si="9"/>
        <v>3</v>
      </c>
      <c r="BS14" s="37">
        <f t="shared" si="9"/>
        <v>2</v>
      </c>
      <c r="BT14" s="37">
        <f t="shared" si="9"/>
        <v>1</v>
      </c>
      <c r="BU14" s="37">
        <f t="shared" si="9"/>
        <v>1</v>
      </c>
      <c r="BV14" s="37">
        <f t="shared" si="9"/>
        <v>2</v>
      </c>
      <c r="BW14" s="37">
        <f t="shared" si="9"/>
        <v>3</v>
      </c>
      <c r="BX14" s="36"/>
      <c r="BY14" s="36"/>
    </row>
    <row r="15" spans="1:77" ht="20" customHeight="1" thickBot="1" x14ac:dyDescent="0.2">
      <c r="G15" s="68"/>
    </row>
    <row r="16" spans="1:77" ht="21" customHeight="1" thickBot="1" x14ac:dyDescent="0.2">
      <c r="A16" s="58" t="s">
        <v>119</v>
      </c>
      <c r="B16" s="59"/>
    </row>
    <row r="17" spans="1:68" ht="21" customHeight="1" thickBot="1" x14ac:dyDescent="0.2">
      <c r="A17" s="60" t="s">
        <v>120</v>
      </c>
      <c r="B17" s="61"/>
    </row>
    <row r="18" spans="1:68" ht="21" customHeight="1" x14ac:dyDescent="0.15">
      <c r="A18" s="62" t="s">
        <v>117</v>
      </c>
      <c r="B18" s="63" t="s">
        <v>118</v>
      </c>
      <c r="D18" s="50"/>
      <c r="E18" s="50"/>
      <c r="AH18" s="50" t="s">
        <v>122</v>
      </c>
    </row>
    <row r="19" spans="1:68" ht="20" customHeight="1" x14ac:dyDescent="0.15">
      <c r="A19" s="53" t="s">
        <v>116</v>
      </c>
      <c r="B19" s="54">
        <f>AVERAGE(AL3:AL11,AN3:AN11,AP3:AP11,AR3:AR11,AT3:AT11,AV3:AV11,AX3:AX11)</f>
        <v>4.4444444444444446</v>
      </c>
      <c r="D19" s="50"/>
      <c r="E19" s="50"/>
    </row>
    <row r="20" spans="1:68" ht="20" customHeight="1" x14ac:dyDescent="0.15">
      <c r="A20" s="53" t="s">
        <v>113</v>
      </c>
      <c r="B20" s="55">
        <f>MEDIAN(AL3:AL11,AN3:AN11,AP3:AP11,AR3:AR11,AT3:AT11,AV3:AV11,AX3:AX11)</f>
        <v>5</v>
      </c>
      <c r="E20" s="51"/>
    </row>
    <row r="21" spans="1:68" ht="20" customHeight="1" x14ac:dyDescent="0.15">
      <c r="A21" s="53" t="s">
        <v>112</v>
      </c>
      <c r="B21" s="55">
        <f>MIN(AL3:AL11,AN3:AN11,AP3:AP11,AR3:AR11,AT3:AT11,AV3:AV11,AX3:AX11)</f>
        <v>1</v>
      </c>
      <c r="E21" s="52"/>
      <c r="BP21" s="69"/>
    </row>
    <row r="22" spans="1:68" ht="20" customHeight="1" x14ac:dyDescent="0.15">
      <c r="A22" s="53" t="s">
        <v>111</v>
      </c>
      <c r="B22" s="55">
        <f>MAX(AL3:AL11,AN3:AN11,AP3:AP11,AR3:AR11,AT3:AT11,AV3:AV11,AX3:AX11)</f>
        <v>6</v>
      </c>
      <c r="E22" s="52"/>
    </row>
    <row r="23" spans="1:68" ht="20" customHeight="1" x14ac:dyDescent="0.15">
      <c r="A23" s="53" t="s">
        <v>114</v>
      </c>
      <c r="B23" s="55">
        <f>QUARTILE((AL3:AL11,AN3:AN11,AP3:AP11,AR3:AR11,AT3:AT11,AV3:AV11,AX3:AX11),3)</f>
        <v>5</v>
      </c>
      <c r="E23" s="52"/>
    </row>
    <row r="24" spans="1:68" ht="20" customHeight="1" thickBot="1" x14ac:dyDescent="0.2">
      <c r="A24" s="56" t="s">
        <v>115</v>
      </c>
      <c r="B24" s="57">
        <f>QUARTILE((AL3:AL11,AN3:AN11,AP3:AP11,AR3:AR11,AT3:AT11,AV3:AV11,AX3:AX11),1)</f>
        <v>4</v>
      </c>
      <c r="E24" s="52"/>
    </row>
    <row r="25" spans="1:68" ht="20" customHeight="1" x14ac:dyDescent="0.15">
      <c r="A25" s="49"/>
      <c r="B25" s="52"/>
    </row>
    <row r="26" spans="1:68" ht="20" customHeight="1" thickBot="1" x14ac:dyDescent="0.2">
      <c r="A26" s="49"/>
    </row>
    <row r="27" spans="1:68" ht="20" customHeight="1" thickBot="1" x14ac:dyDescent="0.2">
      <c r="A27" s="58" t="s">
        <v>121</v>
      </c>
      <c r="B27" s="59"/>
    </row>
    <row r="28" spans="1:68" ht="20" customHeight="1" thickBot="1" x14ac:dyDescent="0.2">
      <c r="A28" s="60" t="s">
        <v>120</v>
      </c>
      <c r="B28" s="61"/>
    </row>
    <row r="29" spans="1:68" ht="20" customHeight="1" x14ac:dyDescent="0.15">
      <c r="A29" s="62" t="s">
        <v>117</v>
      </c>
      <c r="B29" s="63" t="s">
        <v>118</v>
      </c>
    </row>
    <row r="30" spans="1:68" ht="20" customHeight="1" x14ac:dyDescent="0.15">
      <c r="A30" s="53" t="s">
        <v>116</v>
      </c>
      <c r="B30" s="54">
        <f>AVERAGE(M3:M11,O3:O11,Q3:Q11,S3:S11,U3:U11,W3:W11)</f>
        <v>4.2222222222222223</v>
      </c>
    </row>
    <row r="31" spans="1:68" ht="20" customHeight="1" x14ac:dyDescent="0.15">
      <c r="A31" s="53" t="s">
        <v>113</v>
      </c>
      <c r="B31" s="55">
        <f>MEDIAN(M3:M11,O3:O11,Q3:Q11,S3:S11,U3:U11,W3:W11)</f>
        <v>4</v>
      </c>
    </row>
    <row r="32" spans="1:68" ht="20" customHeight="1" x14ac:dyDescent="0.15">
      <c r="A32" s="53" t="s">
        <v>112</v>
      </c>
      <c r="B32" s="55">
        <f>MIN(M3:M11,O3:O11,Q3:Q11,S3:S11,U3:U11,W3:W11)</f>
        <v>2</v>
      </c>
    </row>
    <row r="33" spans="1:2" ht="20" customHeight="1" x14ac:dyDescent="0.15">
      <c r="A33" s="53" t="s">
        <v>111</v>
      </c>
      <c r="B33" s="55">
        <f>MAX(M3:M11,O3:O11,Q3:Q11,S3:S11,U3:U11,W3:W11)</f>
        <v>6</v>
      </c>
    </row>
    <row r="34" spans="1:2" ht="20" customHeight="1" x14ac:dyDescent="0.15">
      <c r="A34" s="53" t="s">
        <v>114</v>
      </c>
      <c r="B34" s="55">
        <f>QUARTILE((M3:M11,O3:O11,Q3:Q11,S3:S11,U3:U11,W3:W11),3)</f>
        <v>5</v>
      </c>
    </row>
    <row r="35" spans="1:2" ht="20" customHeight="1" thickBot="1" x14ac:dyDescent="0.2">
      <c r="A35" s="56" t="s">
        <v>115</v>
      </c>
      <c r="B35" s="57">
        <f>QUARTILE((M3:M11,O3:O11,Q3:Q11,S3:S11,U3:U11,W3:W11),1)</f>
        <v>3</v>
      </c>
    </row>
  </sheetData>
  <mergeCells count="5">
    <mergeCell ref="A27:B27"/>
    <mergeCell ref="A28:B28"/>
    <mergeCell ref="A17:B17"/>
    <mergeCell ref="A16:B16"/>
    <mergeCell ref="A1:BY1"/>
  </mergeCells>
  <pageMargins left="1" right="1" top="1" bottom="1" header="0.25" footer="0.25"/>
  <pageSetup orientation="portrait"/>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Export Summary</vt:lpstr>
      <vt:lpstr>Sheet 1 - Probabillistic Nomogr</vt:lpstr>
      <vt:lpstr>Sheet 1 - Probabilistic Nomogra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Arturs Andrejevs Lembergs</cp:lastModifiedBy>
  <dcterms:modified xsi:type="dcterms:W3CDTF">2025-08-22T20:31:41Z</dcterms:modified>
</cp:coreProperties>
</file>